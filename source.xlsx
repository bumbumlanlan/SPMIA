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<sst xmlns="http://schemas.openxmlformats.org/spreadsheetml/2006/main" count="533" uniqueCount="139">
  <si>
    <t>Dấu thời gian</t>
  </si>
  <si>
    <t>Your gender.</t>
  </si>
  <si>
    <t>What year are you currently in?</t>
  </si>
  <si>
    <t>What is your major/specialization?</t>
  </si>
  <si>
    <t>Your current overall GPA in English major courses.</t>
  </si>
  <si>
    <t>Your email address. (optional - if you'd like to receive your MI profile results)</t>
  </si>
  <si>
    <t>Please indicate your level of agreement with each statement.
Scale: 
1 = Strongly Disagree 
2 = Disagree 
3 = Neutral 
4 = Agree 
5 = Strongly Agree [I am familiar with the concept of Multiple Intelligences (MI) theory.]</t>
  </si>
  <si>
    <t>Please indicate your level of agreement with each statement.
Scale: 
1 = Strongly Disagree 
2 = Disagree 
3 = Neutral 
4 = Agree 
5 = Strongly Agree [I understand that people have different types of intelligences (e.g., linguistic, logical-mathematical, musical, bodily-kinesthetic, spatial, interpersonal, intrapersonal, naturalistic).]</t>
  </si>
  <si>
    <t>Please indicate your level of agreement with each statement.
Scale: 
1 = Strongly Disagree 
2 = Disagree 
3 = Neutral 
4 = Agree 
5 = Strongly Agree [I have taken a Multiple Intelligences assessment or test to identify my dominant intelligence(s).]</t>
  </si>
  <si>
    <t>Please indicate your level of agreement with each statement.
Scale: 
1 = Strongly Disagree 
2 = Disagree 
3 = Neutral 
4 = Agree 
5 = Strongly Agree [I am aware of which type(s) of intelligence are my strongest.]</t>
  </si>
  <si>
    <t>MULTIPLE INTELLIGENCES AWARENESS</t>
  </si>
  <si>
    <t>INTRAPERSONAL INTELLIGENCE [I often think about my goals, and I know what I'm good and not good at.]</t>
  </si>
  <si>
    <t>INTRAPERSONAL INTELLIGENCE [I consider myself independent, and I want to work for myself or run my own business in the future.]</t>
  </si>
  <si>
    <t>INTRAPERSONAL INTELLIGENCE [I sometimes talk to myself, and I usually think things through before I act.]</t>
  </si>
  <si>
    <t>INTRAPERSONAL INTELLIGENCE [I like being alone so I can think about things that matter to me.]</t>
  </si>
  <si>
    <t>INTRAPERSONAL INTELLIGENCE [I prefer quiet vacations in nature rather than staying at fancy resorts.]</t>
  </si>
  <si>
    <t>INTRAPERSONAL INTELLIGENCE [I enjoy hobbies that I can do by myself.]</t>
  </si>
  <si>
    <t>SUM INTRA</t>
  </si>
  <si>
    <t>INTERPERSONAL INTELLIGENCE [I like giving advice, and people often give me advice too.]</t>
  </si>
  <si>
    <t>INTERPERSONAL INTELLIGENCE [I enjoy being around many people because it makes me feel comfortable.]</t>
  </si>
  <si>
    <t>INTERPERSONAL INTELLIGENCE [People find it easy to get to know me.]</t>
  </si>
  <si>
    <t>INTERPERSONAL INTELLIGENCE [I can make new friends easily.]</t>
  </si>
  <si>
    <t>INTERPERSONAL INTELLIGENCE [I see myself as a leader (and others call me that), and I often bring people together.]</t>
  </si>
  <si>
    <t>INTERPERSONAL INTELLIGENCE [I have at least three close friends, and I really enjoy spending time with them.]</t>
  </si>
  <si>
    <t>SUM INTER</t>
  </si>
  <si>
    <t>LOGICAL-MATHEMATICAL INTELLIGENCE [I usually enjoy and do well in math and science subjects.]</t>
  </si>
  <si>
    <t>LOGICAL-MATHEMATICAL INTELLIGENCE [I like working with numbers, data, and logical reasoning.]</t>
  </si>
  <si>
    <t>LOGICAL-MATHEMATICAL INTELLIGENCE [I enjoy solving puzzles or games that require strategy and problem-solving.]</t>
  </si>
  <si>
    <t>LOGICAL-MATHEMATICAL INTELLIGENCE [I am curious about how things work and often ask "why" or "how" questions.]</t>
  </si>
  <si>
    <t>LOGICAL-MATHEMATICAL INTELLIGENCE [I like to look for patterns or regularities in things around me.]</t>
  </si>
  <si>
    <t>LOGICAL-MATHEMATICAL INTELLIGENCE [I prefer information when it is organized, categorized, or measured clearly.]</t>
  </si>
  <si>
    <t>Logical</t>
  </si>
  <si>
    <t>BODILY-KINESTHETIC INTELLIGENCE [I am physically active and do not like sitting still for long periods.]</t>
  </si>
  <si>
    <t>BODILY-KINESTHETIC INTELLIGENCE [I am good at sports or physical activities and learn new ones quickly.]</t>
  </si>
  <si>
    <t>BODILY-KINESTHETIC INTELLIGENCE [I would rather play sports or do activities than just watch them.]</t>
  </si>
  <si>
    <t>BODILY-KINESTHETIC INTELLIGENCE [I feel well coordinated when I move, play sports, or use my body.]</t>
  </si>
  <si>
    <t>BODILY-KINESTHETIC INTELLIGENCE [I enjoy working with my hands, such as building, fixing, or making things.]</t>
  </si>
  <si>
    <t>BODILY-KINESTHETIC INTELLIGENCE [I do not mind getting dirty during hands-on or outdoor activities.]</t>
  </si>
  <si>
    <t>BODILY-KINESTHETIC INTELLIGENCE Sum</t>
  </si>
  <si>
    <t>LINGUISTIC INTELLIGENCE [I enjoy reading and learning new words.]</t>
  </si>
  <si>
    <t>LINGUISTIC INTELLIGENCE [English and social subjects feel easier or more engaging for me.]</t>
  </si>
  <si>
    <t>LINGUISTIC INTELLIGENCE [I like word games and looking things up in dictionaries or online.]</t>
  </si>
  <si>
    <t>LINGUISTIC INTELLIGENCE [I remember school lessons easily.]</t>
  </si>
  <si>
    <t>LINGUISTIC INTELLIGENCE [I prefer talking with people rather than watching TV.]</t>
  </si>
  <si>
    <t>LINGUISTIC INTELLIGENCE [I'm good at convincing others or expressing my ideas clearly.]</t>
  </si>
  <si>
    <t>SUM LINGUISTIC INTELLIGENCE</t>
  </si>
  <si>
    <t>NATURALIST INTELLIGENCE [I enjoy being around animals and observing how they behave.]</t>
  </si>
  <si>
    <t>NATURALIST INTELLIGENCE [I like watching nature programs or learning about the environment.]</t>
  </si>
  <si>
    <t>NATURALIST INTELLIGENCE [I'm good at telling different plants, animals, or natural features apart.]</t>
  </si>
  <si>
    <t>NATURALIST INTELLIGENCE [I enjoy spending time outdoors, such as hiking or camping.]</t>
  </si>
  <si>
    <t>NATURALIST INTELLIGENCE [I'm interested in protecting nature or joining environmental activities.]</t>
  </si>
  <si>
    <t>NATURALIST INTELLIGENCE [I'm good at taking care of plants and noticing living things around me.]</t>
  </si>
  <si>
    <t xml:space="preserve">SUM NATURALIST </t>
  </si>
  <si>
    <t>SPATIAL (VISUAL) INTELLIGENCE [I enjoy activities such as drawing, sketching, or creating visual designs.]</t>
  </si>
  <si>
    <t>SPATIAL (VISUAL) INTELLIGENCE [I can easily understand how objects fit together, such as when solving puzzles.]</t>
  </si>
  <si>
    <t>SPATIAL (VISUAL) INTELLIGENCE [When watching videos or movies, I pay more attention to visual details than to sounds.]</t>
  </si>
  <si>
    <t>SPATIAL (VISUAL) INTELLIGENCE [I can form clear mental images when I close my eyes.]</t>
  </si>
  <si>
    <t>SPATIAL (VISUAL) INTELLIGENCE [I am good at interpreting maps or navigating unfamiliar places.]</t>
  </si>
  <si>
    <t>SPATIAL (VISUAL) INTELLIGENCE [I remember people's faces more easily than their names.]</t>
  </si>
  <si>
    <t xml:space="preserve">VISUAL </t>
  </si>
  <si>
    <t>MUSICAL INTELLIGENCE [I enjoy singing and feel confident in my singing ability.]</t>
  </si>
  <si>
    <t>MUSICAL INTELLIGENCE [I frequently listen to music for enjoyment or relaxation.]</t>
  </si>
  <si>
    <t>MUSICAL INTELLIGENCE [I can maintain rhythm well when listening to music.]</t>
  </si>
  <si>
    <t>MUSICAL INTELLIGENCE [I know the melodies or titles of many songs.]</t>
  </si>
  <si>
    <t>MUSICAL INTELLIGENCE [I sometimes catch myself humming or tapping along to music during daily activities.]</t>
  </si>
  <si>
    <t>MUSICAL INTELLIGENCE [I can recognize when musical notes or pitches sound incorrect.]</t>
  </si>
  <si>
    <t>SUM MUSICAL</t>
  </si>
  <si>
    <t>Think about your English speaking classes. Please indicate your level of agreement with each statement based on your actual classroom experiences.
Scale: 
1 = Strongly Disagree 
2 = Disagree 
3 = Neutral 
4 = Agree 
5 = Strongly Agree [I experience a variety of speaking activities in the classroom that address different intelligences and learning strengths.]</t>
  </si>
  <si>
    <t>Think about your English speaking classes. Please indicate your level of agreement with each statement based on your actual classroom experiences.
Scale: 
1 = Strongly Disagree 
2 = Disagree 
3 = Neutral 
4 = Agree 
5 = Strongly Agree [I feel engaged in classroom speaking activities when they align with my dominant intelligences.]</t>
  </si>
  <si>
    <t>Think about your English speaking classes. Please indicate your level of agreement with each statement based on your actual classroom experiences.
Scale: 
1 = Strongly Disagree 
2 = Disagree 
3 = Neutral 
4 = Agree 
5 = Strongly Agree [I perceive that MI-based speaking activities in the classroom support my English speaking performance.]</t>
  </si>
  <si>
    <t>Think about your English speaking classes. Please indicate your level of agreement with each statement based on your actual classroom experiences.
Scale: 
1 = Strongly Disagree 
2 = Disagree 
3 = Neutral 
4 = Agree 
5 = Strongly Agree [I use my dominant intelligences effectively when working on group speaking tasks in class.]</t>
  </si>
  <si>
    <t>Think about your English speaking classes. Please indicate your level of agreement with each statement based on your actual classroom experiences.
Scale: 
1 = Strongly Disagree 
2 = Disagree 
3 = Neutral 
4 = Agree 
5 = Strongly Agree [I am guided by my teachers on how to use my strengths when doing speaking tasks.]</t>
  </si>
  <si>
    <t>Think about your English speaking classes. Please indicate your level of agreement with each statement based on your actual classroom experiences.
Scale: 
1 = Strongly Disagree 
2 = Disagree 
3 = Neutral 
4 = Agree 
5 = Strongly Agree [I get feedback that shows how well I use my learning strengths in speaking, not just my grammar or vocabulary.]</t>
  </si>
  <si>
    <t>Think about your English speaking classes. Please indicate your level of agreement with each statement based on your actual classroom experiences.
Scale: 
1 = Strongly Disagree 
2 = Disagree 
3 = Neutral 
4 = Agree 
5 = Strongly Agree [When studying English speaking by myself, I choose practice methods that match my dominant intelligence.]</t>
  </si>
  <si>
    <t>Think about your English speaking classes. Please indicate your level of agreement with each statement based on your actual classroom experiences.
Scale: 
1 = Strongly Disagree 
2 = Disagree 
3 = Neutral 
4 = Agree 
5 = Strongly Agree [I adjust the way I practice speaking on my own by relying on my dominant intelligence when I encounter difficulties.]</t>
  </si>
  <si>
    <t>Think about your English speaking classes. Please indicate your level of agreement with each statement based on your actual classroom experiences.
Scale: 
1 = Strongly Disagree 
2 = Disagree 
3 = Neutral 
4 = Agree 
5 = Strongly Agree [My awareness of my dominant intelligence helps me evaluate and improve my self-study of English speaking.]</t>
  </si>
  <si>
    <t>Think about your English speaking classes. Please indicate your level of agreement with each statement based on your actual classroom experiences.
Scale: 
1 = Strongly Disagree 
2 = Disagree 
3 = Neutral 
4 = Agree 
5 = Strongly Agree [I tend to practice speaking more regularly when the activities align with my dominant intelligence.]</t>
  </si>
  <si>
    <t>Think about your English speaking classes. Please indicate your level of agreement with each statement based on your actual classroom experiences.
Scale: 
1 = Strongly Disagree 
2 = Disagree 
3 = Neutral 
4 = Agree 
5 = Strongly Agree [I use my dominant intelligence to create interesting speaking activities that keep me motivated when learning on my own.]</t>
  </si>
  <si>
    <t>Think about your English speaking classes. Please indicate your level of agreement with each statement based on your actual classroom experiences.
Scale: 
1 = Strongly Disagree 
2 = Disagree 
3 = Neutral 
4 = Agree 
5 = Strongly Agree [My dominant intelligence guides me in selecting suitable materials and resources for practicing English speaking independently.]</t>
  </si>
  <si>
    <t>PERCEPTION OF MI APPLICATION</t>
  </si>
  <si>
    <t>Intrapersonal Intelligence</t>
  </si>
  <si>
    <t xml:space="preserve">Interpersonal Intelligence
</t>
  </si>
  <si>
    <t>Logical–Mathematical Intelligence</t>
  </si>
  <si>
    <t>Bodily–Kinesthetic Intelligence</t>
  </si>
  <si>
    <t>Linguistic Intelligence</t>
  </si>
  <si>
    <t xml:space="preserve">Naturalistic Intelligence
</t>
  </si>
  <si>
    <t xml:space="preserve">Visual–Spatial Intelligence
</t>
  </si>
  <si>
    <t>Musical Intelligence</t>
  </si>
  <si>
    <t>Dominant Intelligence Per person</t>
  </si>
  <si>
    <t>Female</t>
  </si>
  <si>
    <t>3rd year</t>
  </si>
  <si>
    <t>English Language</t>
  </si>
  <si>
    <t>2.5-3.19 (Khá)</t>
  </si>
  <si>
    <t>ahhnotu05@gmail.com</t>
  </si>
  <si>
    <t>zyyzye0202@gmail.com</t>
  </si>
  <si>
    <t>vy4657510318@st.qnu.edu.vn</t>
  </si>
  <si>
    <t>Male</t>
  </si>
  <si>
    <t>3.2-3.59 (Giỏi)</t>
  </si>
  <si>
    <t>Jeonmon2013@gmail.com</t>
  </si>
  <si>
    <t>caothianhnguyet080@gmail.com</t>
  </si>
  <si>
    <t>Thuy4657510250@st.qnu.edu.vn</t>
  </si>
  <si>
    <t>Diu17phu@gmail.com</t>
  </si>
  <si>
    <t>vansang12032005@gmail.com</t>
  </si>
  <si>
    <t>trieuvy12052005</t>
  </si>
  <si>
    <t>kthuw205@gmail.com</t>
  </si>
  <si>
    <t>nguyentien2310army@gmail.com</t>
  </si>
  <si>
    <t>kieutrinh.301205@gmail.com</t>
  </si>
  <si>
    <t>nguyenthaovan2310@gmai.com</t>
  </si>
  <si>
    <t>3.6 - 4.0 (Xuất sắc)</t>
  </si>
  <si>
    <t>anhthuthu277@gmail.com</t>
  </si>
  <si>
    <t>qt9245873@gmail.com</t>
  </si>
  <si>
    <t>English Education</t>
  </si>
  <si>
    <t>nhungtranblink@gmail.com</t>
  </si>
  <si>
    <t>yenhai25092005@gmail.com</t>
  </si>
  <si>
    <t>duyenle.080205@gmail.com</t>
  </si>
  <si>
    <t>ntmnmyngoc@gmail.com</t>
  </si>
  <si>
    <t xml:space="preserve">lethaovy05sh@gmail.com </t>
  </si>
  <si>
    <t>bththamc1ntmkhai2223@gmail.com</t>
  </si>
  <si>
    <t>huyenvungtau005@gmail.com</t>
  </si>
  <si>
    <t>Mikoyan-Gurevich MiG-21</t>
  </si>
  <si>
    <t>nguyenhohuybinhnoob123@gmail.com</t>
  </si>
  <si>
    <t>dinhngpphuong@gmail.com</t>
  </si>
  <si>
    <t>tuongmytam163tp@gmail.com</t>
  </si>
  <si>
    <t>le41014233@gmail.com</t>
  </si>
  <si>
    <t>bejk970901@gmail.com</t>
  </si>
  <si>
    <t>lan4657010079@st.qnu.edu.vn</t>
  </si>
  <si>
    <t>thanhnha5959@gmail.com</t>
  </si>
  <si>
    <t>bloom in winx</t>
  </si>
  <si>
    <t>hat079894@gmail.com</t>
  </si>
  <si>
    <t>Thaobap3010@gmail.com</t>
  </si>
  <si>
    <t>Khanhlinh.qn2011@gmail.com</t>
  </si>
  <si>
    <t>luunguyenviethoangg1611@gmail.com</t>
  </si>
  <si>
    <t>uyenthanh2503@gmail.com</t>
  </si>
  <si>
    <t>Prefer not to say</t>
  </si>
  <si>
    <t>doanngocanhthu1111@gmail.com</t>
  </si>
  <si>
    <t xml:space="preserve">
</t>
  </si>
  <si>
    <t>Interpersonal Intelligence</t>
  </si>
  <si>
    <t>Naturalistic Intelligence</t>
  </si>
  <si>
    <t>Visual–Spatial Intelligence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</si>
</sst>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b/>
      <sz val="12.0"/>
      <color theme="1"/>
      <name val="Nunito"/>
    </font>
    <font>
      <sz val="12.0"/>
      <color theme="1"/>
      <name val="Nunito"/>
    </font>
    <font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wrapText="1"/>
    </xf>
    <xf borderId="0" fillId="5" fontId="1" numFmtId="0" xfId="0" applyAlignment="1" applyFont="1">
      <alignment horizontal="center" readingOrder="0" shrinkToFit="0" wrapText="1"/>
    </xf>
    <xf borderId="0" fillId="7" fontId="1" numFmtId="0" xfId="0" applyAlignment="1" applyFill="1" applyFont="1">
      <alignment horizontal="center" readingOrder="0" shrinkToFit="0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0" fillId="8" fontId="3" numFmtId="0" xfId="0" applyAlignment="1" applyFill="1" applyFont="1">
      <alignment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8" fontId="3" numFmtId="0" xfId="0" applyAlignment="1" applyFont="1">
      <alignment shrinkToFit="0" vertical="center" wrapText="0"/>
    </xf>
    <xf borderId="0" fillId="5" fontId="3" numFmtId="0" xfId="0" applyAlignment="1" applyFont="1">
      <alignment horizontal="right"/>
    </xf>
    <xf borderId="0" fillId="5" fontId="3" numFmtId="0" xfId="0" applyAlignment="1" applyFont="1">
      <alignment horizontal="right" readingOrder="0"/>
    </xf>
    <xf borderId="1" fillId="0" fontId="6" numFmtId="0" xfId="0" applyBorder="1" applyFont="1"/>
    <xf borderId="0" fillId="9" fontId="3" numFmtId="0" xfId="0" applyAlignment="1" applyFill="1" applyFont="1">
      <alignment shrinkToFit="0" vertical="center" wrapText="0"/>
    </xf>
    <xf borderId="0" fillId="9" fontId="6" numFmtId="0" xfId="0" applyFont="1"/>
    <xf borderId="2" fillId="9" fontId="4" numFmtId="0" xfId="0" applyAlignment="1" applyBorder="1" applyFont="1">
      <alignment horizontal="center" shrinkToFit="0" vertical="center" wrapText="0"/>
    </xf>
    <xf borderId="0" fillId="8" fontId="3" numFmtId="0" xfId="0" applyAlignment="1" applyFont="1">
      <alignment shrinkToFit="0" vertical="center" wrapText="0"/>
    </xf>
    <xf borderId="0" fillId="3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shrinkToFit="0" vertical="center" wrapText="0"/>
    </xf>
    <xf borderId="0" fillId="5" fontId="3" numFmtId="0" xfId="0" applyAlignment="1" applyFont="1">
      <alignment shrinkToFit="0" vertical="center" wrapText="0"/>
    </xf>
    <xf borderId="3" fillId="9" fontId="3" numFmtId="0" xfId="0" applyAlignment="1" applyBorder="1" applyFont="1">
      <alignment shrinkToFit="0" vertical="center" wrapText="0"/>
    </xf>
    <xf borderId="0" fillId="9" fontId="5" numFmtId="0" xfId="0" applyAlignment="1" applyFont="1">
      <alignment horizontal="center" shrinkToFit="0" vertical="center" wrapText="0"/>
    </xf>
    <xf borderId="0" fillId="10" fontId="3" numFmtId="0" xfId="0" applyAlignment="1" applyFill="1" applyFont="1">
      <alignment horizontal="right"/>
    </xf>
    <xf borderId="2" fillId="0" fontId="6" numFmtId="0" xfId="0" applyBorder="1" applyFont="1"/>
    <xf borderId="0" fillId="8" fontId="6" numFmtId="0" xfId="0" applyFont="1"/>
    <xf borderId="0" fillId="3" fontId="6" numFmtId="0" xfId="0" applyAlignment="1" applyFont="1">
      <alignment horizontal="center"/>
    </xf>
    <xf borderId="0" fillId="4" fontId="6" numFmtId="0" xfId="0" applyFont="1"/>
    <xf borderId="0" fillId="5" fontId="6" numFmtId="0" xfId="0" applyFont="1"/>
    <xf borderId="3" fillId="0" fontId="6" numFmtId="0" xfId="0" applyBorder="1" applyFont="1"/>
    <xf borderId="0" fillId="0" fontId="6" numFmtId="0" xfId="0" applyAlignment="1" applyFont="1">
      <alignment horizontal="center"/>
    </xf>
    <xf borderId="0" fillId="5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Câu trả lời biểu mẫu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'Câu trả lời biểu mẫu 1'!$B$106:$B$113</c:f>
            </c:strRef>
          </c:cat>
          <c:val>
            <c:numRef>
              <c:f>'Câu trả lời biểu mẫu 1'!$C$106:$C$113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1143000</xdr:colOff>
      <xdr:row>102</xdr:row>
      <xdr:rowOff>123825</xdr:rowOff>
    </xdr:from>
    <xdr:ext cx="5057775" cy="313372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1466850</xdr:colOff>
      <xdr:row>102</xdr:row>
      <xdr:rowOff>123825</xdr:rowOff>
    </xdr:from>
    <xdr:ext cx="5057775" cy="3133725"/>
    <xdr:pic>
      <xdr:nvPicPr>
        <xdr:cNvPr id="1976078004" name="Chart2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1323975</xdr:colOff>
      <xdr:row>102</xdr:row>
      <xdr:rowOff>123825</xdr:rowOff>
    </xdr:from>
    <xdr:ext cx="5057775" cy="3133725"/>
    <xdr:pic>
      <xdr:nvPicPr>
        <xdr:cNvPr id="814393538" name="Chart3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1543050</xdr:colOff>
      <xdr:row>102</xdr:row>
      <xdr:rowOff>47625</xdr:rowOff>
    </xdr:from>
    <xdr:ext cx="5715000" cy="3533775"/>
    <xdr:pic>
      <xdr:nvPicPr>
        <xdr:cNvPr id="818965920" name="Chart4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L102" displayName="Table_1" name="Table_1" id="1">
  <tableColumns count="9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</tableColumns>
  <tableStyleInfo name="Câu trả lời biểu mẫu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3" width="27.5"/>
    <col customWidth="1" min="4" max="4" width="30.38"/>
    <col customWidth="1" min="5" max="79" width="37.63"/>
    <col customWidth="1" min="80" max="80" width="18.88"/>
    <col customWidth="1" min="81" max="90" width="37.63"/>
  </cols>
  <sheetData>
    <row r="1" ht="8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5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6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7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8" t="s">
        <v>66</v>
      </c>
      <c r="BP1" s="9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4" t="s">
        <v>79</v>
      </c>
      <c r="CC1" s="10" t="s">
        <v>80</v>
      </c>
      <c r="CD1" s="4" t="s">
        <v>81</v>
      </c>
      <c r="CE1" s="4" t="s">
        <v>82</v>
      </c>
      <c r="CF1" s="5" t="s">
        <v>83</v>
      </c>
      <c r="CG1" s="5" t="s">
        <v>84</v>
      </c>
      <c r="CH1" s="6" t="s">
        <v>85</v>
      </c>
      <c r="CI1" s="11" t="s">
        <v>86</v>
      </c>
      <c r="CJ1" s="12" t="s">
        <v>87</v>
      </c>
      <c r="CK1" s="13" t="s">
        <v>88</v>
      </c>
      <c r="CL1" s="13"/>
    </row>
    <row r="2" ht="22.5" customHeight="1">
      <c r="A2" s="14">
        <v>46025.593485324076</v>
      </c>
      <c r="B2" s="15" t="s">
        <v>89</v>
      </c>
      <c r="C2" s="15" t="s">
        <v>90</v>
      </c>
      <c r="D2" s="15" t="s">
        <v>91</v>
      </c>
      <c r="E2" s="15" t="s">
        <v>92</v>
      </c>
      <c r="F2" s="16" t="s">
        <v>93</v>
      </c>
      <c r="G2" s="15">
        <v>3.0</v>
      </c>
      <c r="H2" s="15">
        <v>3.0</v>
      </c>
      <c r="I2" s="15">
        <v>3.0</v>
      </c>
      <c r="J2" s="15">
        <v>3.0</v>
      </c>
      <c r="K2" s="17">
        <f t="shared" ref="K2:K101" si="1">SUM(G2:J2)</f>
        <v>12</v>
      </c>
      <c r="L2" s="15">
        <v>3.0</v>
      </c>
      <c r="M2" s="15">
        <v>3.0</v>
      </c>
      <c r="N2" s="15">
        <v>3.0</v>
      </c>
      <c r="O2" s="15">
        <v>3.0</v>
      </c>
      <c r="P2" s="15">
        <v>3.0</v>
      </c>
      <c r="Q2" s="15">
        <v>3.0</v>
      </c>
      <c r="R2" s="18">
        <f t="shared" ref="R2:R101" si="2">SUM(L2:Q2)</f>
        <v>18</v>
      </c>
      <c r="S2" s="15">
        <v>3.0</v>
      </c>
      <c r="T2" s="15">
        <v>3.0</v>
      </c>
      <c r="U2" s="15">
        <v>3.0</v>
      </c>
      <c r="V2" s="15">
        <v>3.0</v>
      </c>
      <c r="W2" s="15">
        <v>3.0</v>
      </c>
      <c r="X2" s="15">
        <v>3.0</v>
      </c>
      <c r="Y2" s="18">
        <f t="shared" ref="Y2:Y101" si="3">sum(S2:X2)</f>
        <v>18</v>
      </c>
      <c r="Z2" s="15">
        <v>3.0</v>
      </c>
      <c r="AA2" s="15">
        <v>3.0</v>
      </c>
      <c r="AB2" s="15">
        <v>3.0</v>
      </c>
      <c r="AC2" s="15">
        <v>3.0</v>
      </c>
      <c r="AD2" s="15">
        <v>3.0</v>
      </c>
      <c r="AE2" s="15">
        <v>3.0</v>
      </c>
      <c r="AF2" s="18">
        <f t="shared" ref="AF2:AF101" si="4">sum(Z2:AE2)</f>
        <v>18</v>
      </c>
      <c r="AG2" s="15">
        <v>3.0</v>
      </c>
      <c r="AH2" s="15">
        <v>3.0</v>
      </c>
      <c r="AI2" s="15">
        <v>3.0</v>
      </c>
      <c r="AJ2" s="15">
        <v>3.0</v>
      </c>
      <c r="AK2" s="15">
        <v>3.0</v>
      </c>
      <c r="AL2" s="15">
        <v>3.0</v>
      </c>
      <c r="AM2" s="19">
        <f t="shared" ref="AM2:AM101" si="5">Sum(AG2:AL2)</f>
        <v>18</v>
      </c>
      <c r="AN2" s="15">
        <v>3.0</v>
      </c>
      <c r="AO2" s="15">
        <v>3.0</v>
      </c>
      <c r="AP2" s="15">
        <v>3.0</v>
      </c>
      <c r="AQ2" s="15">
        <v>3.0</v>
      </c>
      <c r="AR2" s="15">
        <v>3.0</v>
      </c>
      <c r="AS2" s="15">
        <v>3.0</v>
      </c>
      <c r="AT2" s="19">
        <f t="shared" ref="AT2:AT101" si="6">sum(AN2:AS2)</f>
        <v>18</v>
      </c>
      <c r="AU2" s="15">
        <v>3.0</v>
      </c>
      <c r="AV2" s="15">
        <v>3.0</v>
      </c>
      <c r="AW2" s="15">
        <v>3.0</v>
      </c>
      <c r="AX2" s="15">
        <v>3.0</v>
      </c>
      <c r="AY2" s="15">
        <v>3.0</v>
      </c>
      <c r="AZ2" s="15">
        <v>3.0</v>
      </c>
      <c r="BA2" s="20">
        <f t="shared" ref="BA2:BA101" si="7">SUM(AU2:AZ2)</f>
        <v>18</v>
      </c>
      <c r="BB2" s="15">
        <v>3.0</v>
      </c>
      <c r="BC2" s="15">
        <v>3.0</v>
      </c>
      <c r="BD2" s="15">
        <v>3.0</v>
      </c>
      <c r="BE2" s="15">
        <v>3.0</v>
      </c>
      <c r="BF2" s="15">
        <v>3.0</v>
      </c>
      <c r="BG2" s="15">
        <v>3.0</v>
      </c>
      <c r="BH2" s="21">
        <f t="shared" ref="BH2:BH101" si="8">SUM(BB2:BG2)</f>
        <v>18</v>
      </c>
      <c r="BI2" s="15">
        <v>3.0</v>
      </c>
      <c r="BJ2" s="15">
        <v>3.0</v>
      </c>
      <c r="BK2" s="15">
        <v>3.0</v>
      </c>
      <c r="BL2" s="15">
        <v>3.0</v>
      </c>
      <c r="BM2" s="15">
        <v>3.0</v>
      </c>
      <c r="BN2" s="15">
        <v>3.0</v>
      </c>
      <c r="BO2" s="21">
        <f t="shared" ref="BO2:BO101" si="9">SUM(BI2:BN2)</f>
        <v>18</v>
      </c>
      <c r="BP2" s="22">
        <v>3.0</v>
      </c>
      <c r="BQ2" s="15">
        <v>3.0</v>
      </c>
      <c r="BR2" s="15">
        <v>3.0</v>
      </c>
      <c r="BS2" s="15">
        <v>3.0</v>
      </c>
      <c r="BT2" s="15">
        <v>3.0</v>
      </c>
      <c r="BU2" s="15">
        <v>3.0</v>
      </c>
      <c r="BV2" s="15">
        <v>3.0</v>
      </c>
      <c r="BW2" s="15">
        <v>3.0</v>
      </c>
      <c r="BX2" s="15">
        <v>3.0</v>
      </c>
      <c r="BY2" s="15">
        <v>3.0</v>
      </c>
      <c r="BZ2" s="15">
        <v>3.0</v>
      </c>
      <c r="CA2" s="15">
        <v>3.0</v>
      </c>
      <c r="CB2" s="23">
        <f t="shared" ref="CB2:CB101" si="10">sum(BP2:CA2)</f>
        <v>36</v>
      </c>
      <c r="CC2" s="24">
        <v>18.0</v>
      </c>
      <c r="CD2" s="18">
        <v>18.0</v>
      </c>
      <c r="CE2" s="18">
        <v>18.0</v>
      </c>
      <c r="CF2" s="19">
        <v>18.0</v>
      </c>
      <c r="CG2" s="19">
        <v>18.0</v>
      </c>
      <c r="CH2" s="20">
        <v>18.0</v>
      </c>
      <c r="CI2" s="25">
        <v>18.0</v>
      </c>
      <c r="CJ2" s="25">
        <v>18.0</v>
      </c>
      <c r="CK2" s="26" t="str">
        <f t="shared" ref="CK2:CK101" si="11">INDEX(CC$1:CJ$1, MATCH(MAX(CC2:CJ2), CC2:CJ2, 0))
</f>
        <v>Intrapersonal Intelligence</v>
      </c>
      <c r="CL2" s="26"/>
    </row>
    <row r="3" ht="22.5" customHeight="1">
      <c r="A3" s="14">
        <v>46025.59369434028</v>
      </c>
      <c r="B3" s="15" t="s">
        <v>89</v>
      </c>
      <c r="C3" s="15" t="s">
        <v>90</v>
      </c>
      <c r="D3" s="15" t="s">
        <v>91</v>
      </c>
      <c r="E3" s="15" t="s">
        <v>92</v>
      </c>
      <c r="F3" s="16" t="s">
        <v>94</v>
      </c>
      <c r="G3" s="15">
        <v>5.0</v>
      </c>
      <c r="H3" s="15">
        <v>5.0</v>
      </c>
      <c r="I3" s="15">
        <v>5.0</v>
      </c>
      <c r="J3" s="15">
        <v>5.0</v>
      </c>
      <c r="K3" s="17">
        <f t="shared" si="1"/>
        <v>20</v>
      </c>
      <c r="L3" s="15">
        <v>4.0</v>
      </c>
      <c r="M3" s="15">
        <v>4.0</v>
      </c>
      <c r="N3" s="15">
        <v>4.0</v>
      </c>
      <c r="O3" s="15">
        <v>4.0</v>
      </c>
      <c r="P3" s="15">
        <v>4.0</v>
      </c>
      <c r="Q3" s="15">
        <v>4.0</v>
      </c>
      <c r="R3" s="18">
        <f t="shared" si="2"/>
        <v>24</v>
      </c>
      <c r="S3" s="15">
        <v>4.0</v>
      </c>
      <c r="T3" s="15">
        <v>4.0</v>
      </c>
      <c r="U3" s="15">
        <v>4.0</v>
      </c>
      <c r="V3" s="15">
        <v>4.0</v>
      </c>
      <c r="W3" s="15">
        <v>4.0</v>
      </c>
      <c r="X3" s="15">
        <v>4.0</v>
      </c>
      <c r="Y3" s="18">
        <f t="shared" si="3"/>
        <v>24</v>
      </c>
      <c r="Z3" s="15">
        <v>4.0</v>
      </c>
      <c r="AA3" s="15">
        <v>4.0</v>
      </c>
      <c r="AB3" s="15">
        <v>4.0</v>
      </c>
      <c r="AC3" s="15">
        <v>4.0</v>
      </c>
      <c r="AD3" s="15">
        <v>4.0</v>
      </c>
      <c r="AE3" s="15">
        <v>4.0</v>
      </c>
      <c r="AF3" s="18">
        <f t="shared" si="4"/>
        <v>24</v>
      </c>
      <c r="AG3" s="15">
        <v>4.0</v>
      </c>
      <c r="AH3" s="15">
        <v>4.0</v>
      </c>
      <c r="AI3" s="15">
        <v>4.0</v>
      </c>
      <c r="AJ3" s="15">
        <v>4.0</v>
      </c>
      <c r="AK3" s="15">
        <v>4.0</v>
      </c>
      <c r="AL3" s="15">
        <v>4.0</v>
      </c>
      <c r="AM3" s="19">
        <f t="shared" si="5"/>
        <v>24</v>
      </c>
      <c r="AN3" s="15">
        <v>4.0</v>
      </c>
      <c r="AO3" s="15">
        <v>4.0</v>
      </c>
      <c r="AP3" s="15">
        <v>4.0</v>
      </c>
      <c r="AQ3" s="15">
        <v>4.0</v>
      </c>
      <c r="AR3" s="15">
        <v>4.0</v>
      </c>
      <c r="AS3" s="15">
        <v>4.0</v>
      </c>
      <c r="AT3" s="19">
        <f t="shared" si="6"/>
        <v>24</v>
      </c>
      <c r="AU3" s="15">
        <v>4.0</v>
      </c>
      <c r="AV3" s="15">
        <v>4.0</v>
      </c>
      <c r="AW3" s="15">
        <v>4.0</v>
      </c>
      <c r="AX3" s="15">
        <v>4.0</v>
      </c>
      <c r="AY3" s="15">
        <v>4.0</v>
      </c>
      <c r="AZ3" s="15">
        <v>4.0</v>
      </c>
      <c r="BA3" s="20">
        <f t="shared" si="7"/>
        <v>24</v>
      </c>
      <c r="BB3" s="15">
        <v>4.0</v>
      </c>
      <c r="BC3" s="15">
        <v>4.0</v>
      </c>
      <c r="BD3" s="15">
        <v>4.0</v>
      </c>
      <c r="BE3" s="15">
        <v>4.0</v>
      </c>
      <c r="BF3" s="15">
        <v>4.0</v>
      </c>
      <c r="BG3" s="15">
        <v>4.0</v>
      </c>
      <c r="BH3" s="21">
        <f t="shared" si="8"/>
        <v>24</v>
      </c>
      <c r="BI3" s="15">
        <v>4.0</v>
      </c>
      <c r="BJ3" s="15">
        <v>4.0</v>
      </c>
      <c r="BK3" s="15">
        <v>4.0</v>
      </c>
      <c r="BL3" s="15">
        <v>4.0</v>
      </c>
      <c r="BM3" s="15">
        <v>4.0</v>
      </c>
      <c r="BN3" s="15">
        <v>4.0</v>
      </c>
      <c r="BO3" s="21">
        <f t="shared" si="9"/>
        <v>24</v>
      </c>
      <c r="BP3" s="22">
        <v>4.0</v>
      </c>
      <c r="BQ3" s="15">
        <v>4.0</v>
      </c>
      <c r="BR3" s="15">
        <v>4.0</v>
      </c>
      <c r="BS3" s="15">
        <v>4.0</v>
      </c>
      <c r="BT3" s="15">
        <v>4.0</v>
      </c>
      <c r="BU3" s="15">
        <v>4.0</v>
      </c>
      <c r="BV3" s="15">
        <v>4.0</v>
      </c>
      <c r="BW3" s="15">
        <v>4.0</v>
      </c>
      <c r="BX3" s="15">
        <v>4.0</v>
      </c>
      <c r="BY3" s="15">
        <v>4.0</v>
      </c>
      <c r="BZ3" s="15">
        <v>5.0</v>
      </c>
      <c r="CA3" s="15">
        <v>5.0</v>
      </c>
      <c r="CB3" s="23">
        <f t="shared" si="10"/>
        <v>50</v>
      </c>
      <c r="CC3" s="24">
        <v>24.0</v>
      </c>
      <c r="CD3" s="18">
        <v>24.0</v>
      </c>
      <c r="CE3" s="18">
        <v>24.0</v>
      </c>
      <c r="CF3" s="19">
        <v>24.0</v>
      </c>
      <c r="CG3" s="19">
        <v>24.0</v>
      </c>
      <c r="CH3" s="20">
        <v>24.0</v>
      </c>
      <c r="CI3" s="25">
        <v>24.0</v>
      </c>
      <c r="CJ3" s="25">
        <v>24.0</v>
      </c>
      <c r="CK3" s="26" t="str">
        <f t="shared" si="11"/>
        <v>Intrapersonal Intelligence</v>
      </c>
      <c r="CL3" s="26"/>
    </row>
    <row r="4" ht="22.5" customHeight="1">
      <c r="A4" s="14">
        <v>46025.5938466088</v>
      </c>
      <c r="B4" s="15" t="s">
        <v>89</v>
      </c>
      <c r="C4" s="15" t="s">
        <v>90</v>
      </c>
      <c r="D4" s="15" t="s">
        <v>91</v>
      </c>
      <c r="E4" s="15" t="s">
        <v>92</v>
      </c>
      <c r="F4" s="16" t="s">
        <v>95</v>
      </c>
      <c r="G4" s="15">
        <v>5.0</v>
      </c>
      <c r="H4" s="15">
        <v>5.0</v>
      </c>
      <c r="I4" s="15">
        <v>5.0</v>
      </c>
      <c r="J4" s="15">
        <v>5.0</v>
      </c>
      <c r="K4" s="17">
        <f t="shared" si="1"/>
        <v>20</v>
      </c>
      <c r="L4" s="15">
        <v>5.0</v>
      </c>
      <c r="M4" s="15">
        <v>5.0</v>
      </c>
      <c r="N4" s="15">
        <v>5.0</v>
      </c>
      <c r="O4" s="15">
        <v>5.0</v>
      </c>
      <c r="P4" s="15">
        <v>5.0</v>
      </c>
      <c r="Q4" s="15">
        <v>5.0</v>
      </c>
      <c r="R4" s="18">
        <f t="shared" si="2"/>
        <v>30</v>
      </c>
      <c r="S4" s="15">
        <v>5.0</v>
      </c>
      <c r="T4" s="15">
        <v>5.0</v>
      </c>
      <c r="U4" s="15">
        <v>5.0</v>
      </c>
      <c r="V4" s="15">
        <v>5.0</v>
      </c>
      <c r="W4" s="15">
        <v>5.0</v>
      </c>
      <c r="X4" s="15">
        <v>5.0</v>
      </c>
      <c r="Y4" s="18">
        <f t="shared" si="3"/>
        <v>30</v>
      </c>
      <c r="Z4" s="15">
        <v>5.0</v>
      </c>
      <c r="AA4" s="15">
        <v>5.0</v>
      </c>
      <c r="AB4" s="15">
        <v>5.0</v>
      </c>
      <c r="AC4" s="15">
        <v>5.0</v>
      </c>
      <c r="AD4" s="15">
        <v>5.0</v>
      </c>
      <c r="AE4" s="15">
        <v>5.0</v>
      </c>
      <c r="AF4" s="18">
        <f t="shared" si="4"/>
        <v>30</v>
      </c>
      <c r="AG4" s="15">
        <v>5.0</v>
      </c>
      <c r="AH4" s="15">
        <v>5.0</v>
      </c>
      <c r="AI4" s="15">
        <v>5.0</v>
      </c>
      <c r="AJ4" s="15">
        <v>5.0</v>
      </c>
      <c r="AK4" s="15">
        <v>5.0</v>
      </c>
      <c r="AL4" s="15">
        <v>5.0</v>
      </c>
      <c r="AM4" s="19">
        <f t="shared" si="5"/>
        <v>30</v>
      </c>
      <c r="AN4" s="15">
        <v>5.0</v>
      </c>
      <c r="AO4" s="15">
        <v>5.0</v>
      </c>
      <c r="AP4" s="15">
        <v>5.0</v>
      </c>
      <c r="AQ4" s="15">
        <v>5.0</v>
      </c>
      <c r="AR4" s="15">
        <v>5.0</v>
      </c>
      <c r="AS4" s="15">
        <v>5.0</v>
      </c>
      <c r="AT4" s="19">
        <f t="shared" si="6"/>
        <v>30</v>
      </c>
      <c r="AU4" s="15">
        <v>5.0</v>
      </c>
      <c r="AV4" s="15">
        <v>5.0</v>
      </c>
      <c r="AW4" s="15">
        <v>5.0</v>
      </c>
      <c r="AX4" s="15">
        <v>5.0</v>
      </c>
      <c r="AY4" s="15">
        <v>5.0</v>
      </c>
      <c r="AZ4" s="15">
        <v>5.0</v>
      </c>
      <c r="BA4" s="20">
        <f t="shared" si="7"/>
        <v>30</v>
      </c>
      <c r="BB4" s="15">
        <v>5.0</v>
      </c>
      <c r="BC4" s="15">
        <v>5.0</v>
      </c>
      <c r="BD4" s="15">
        <v>5.0</v>
      </c>
      <c r="BE4" s="15">
        <v>5.0</v>
      </c>
      <c r="BF4" s="15">
        <v>5.0</v>
      </c>
      <c r="BG4" s="15">
        <v>5.0</v>
      </c>
      <c r="BH4" s="21">
        <f t="shared" si="8"/>
        <v>30</v>
      </c>
      <c r="BI4" s="15">
        <v>5.0</v>
      </c>
      <c r="BJ4" s="15">
        <v>5.0</v>
      </c>
      <c r="BK4" s="15">
        <v>5.0</v>
      </c>
      <c r="BL4" s="15">
        <v>5.0</v>
      </c>
      <c r="BM4" s="15">
        <v>5.0</v>
      </c>
      <c r="BN4" s="15">
        <v>5.0</v>
      </c>
      <c r="BO4" s="21">
        <f t="shared" si="9"/>
        <v>30</v>
      </c>
      <c r="BP4" s="22">
        <v>5.0</v>
      </c>
      <c r="BQ4" s="15">
        <v>5.0</v>
      </c>
      <c r="BR4" s="15">
        <v>5.0</v>
      </c>
      <c r="BS4" s="15">
        <v>5.0</v>
      </c>
      <c r="BT4" s="15">
        <v>5.0</v>
      </c>
      <c r="BU4" s="15">
        <v>5.0</v>
      </c>
      <c r="BV4" s="15">
        <v>5.0</v>
      </c>
      <c r="BW4" s="15">
        <v>5.0</v>
      </c>
      <c r="BX4" s="15">
        <v>5.0</v>
      </c>
      <c r="BY4" s="15">
        <v>5.0</v>
      </c>
      <c r="BZ4" s="15">
        <v>5.0</v>
      </c>
      <c r="CA4" s="15">
        <v>5.0</v>
      </c>
      <c r="CB4" s="23">
        <f t="shared" si="10"/>
        <v>60</v>
      </c>
      <c r="CC4" s="24">
        <v>30.0</v>
      </c>
      <c r="CD4" s="18">
        <v>30.0</v>
      </c>
      <c r="CE4" s="18">
        <v>30.0</v>
      </c>
      <c r="CF4" s="19">
        <v>30.0</v>
      </c>
      <c r="CG4" s="19">
        <v>30.0</v>
      </c>
      <c r="CH4" s="20">
        <v>30.0</v>
      </c>
      <c r="CI4" s="25">
        <v>30.0</v>
      </c>
      <c r="CJ4" s="25">
        <v>30.0</v>
      </c>
      <c r="CK4" s="26" t="str">
        <f t="shared" si="11"/>
        <v>Intrapersonal Intelligence</v>
      </c>
      <c r="CL4" s="26"/>
    </row>
    <row r="5" ht="22.5" customHeight="1">
      <c r="A5" s="14">
        <v>46025.59524625</v>
      </c>
      <c r="B5" s="15" t="s">
        <v>89</v>
      </c>
      <c r="C5" s="15" t="s">
        <v>90</v>
      </c>
      <c r="D5" s="15" t="s">
        <v>91</v>
      </c>
      <c r="E5" s="15" t="s">
        <v>92</v>
      </c>
      <c r="F5" s="16"/>
      <c r="G5" s="15">
        <v>4.0</v>
      </c>
      <c r="H5" s="15">
        <v>4.0</v>
      </c>
      <c r="I5" s="15">
        <v>4.0</v>
      </c>
      <c r="J5" s="15">
        <v>4.0</v>
      </c>
      <c r="K5" s="17">
        <f t="shared" si="1"/>
        <v>16</v>
      </c>
      <c r="L5" s="16">
        <v>4.0</v>
      </c>
      <c r="M5" s="15">
        <v>4.0</v>
      </c>
      <c r="N5" s="15">
        <v>4.0</v>
      </c>
      <c r="O5" s="15">
        <v>4.0</v>
      </c>
      <c r="P5" s="15">
        <v>4.0</v>
      </c>
      <c r="Q5" s="15">
        <v>4.0</v>
      </c>
      <c r="R5" s="18">
        <f t="shared" si="2"/>
        <v>24</v>
      </c>
      <c r="S5" s="15">
        <v>4.0</v>
      </c>
      <c r="T5" s="15">
        <v>4.0</v>
      </c>
      <c r="U5" s="15">
        <v>4.0</v>
      </c>
      <c r="V5" s="15">
        <v>4.0</v>
      </c>
      <c r="W5" s="15">
        <v>4.0</v>
      </c>
      <c r="X5" s="15">
        <v>4.0</v>
      </c>
      <c r="Y5" s="18">
        <f t="shared" si="3"/>
        <v>24</v>
      </c>
      <c r="Z5" s="15">
        <v>4.0</v>
      </c>
      <c r="AA5" s="15">
        <v>4.0</v>
      </c>
      <c r="AB5" s="15">
        <v>4.0</v>
      </c>
      <c r="AC5" s="15">
        <v>4.0</v>
      </c>
      <c r="AD5" s="15">
        <v>4.0</v>
      </c>
      <c r="AE5" s="15">
        <v>4.0</v>
      </c>
      <c r="AF5" s="18">
        <f t="shared" si="4"/>
        <v>24</v>
      </c>
      <c r="AG5" s="15">
        <v>4.0</v>
      </c>
      <c r="AH5" s="15">
        <v>4.0</v>
      </c>
      <c r="AI5" s="15">
        <v>4.0</v>
      </c>
      <c r="AJ5" s="15">
        <v>4.0</v>
      </c>
      <c r="AK5" s="15">
        <v>4.0</v>
      </c>
      <c r="AL5" s="15">
        <v>4.0</v>
      </c>
      <c r="AM5" s="19">
        <f t="shared" si="5"/>
        <v>24</v>
      </c>
      <c r="AN5" s="15">
        <v>4.0</v>
      </c>
      <c r="AO5" s="15">
        <v>4.0</v>
      </c>
      <c r="AP5" s="15">
        <v>4.0</v>
      </c>
      <c r="AQ5" s="15">
        <v>4.0</v>
      </c>
      <c r="AR5" s="15">
        <v>4.0</v>
      </c>
      <c r="AS5" s="15">
        <v>4.0</v>
      </c>
      <c r="AT5" s="19">
        <f t="shared" si="6"/>
        <v>24</v>
      </c>
      <c r="AU5" s="15">
        <v>4.0</v>
      </c>
      <c r="AV5" s="15">
        <v>4.0</v>
      </c>
      <c r="AW5" s="15">
        <v>4.0</v>
      </c>
      <c r="AX5" s="15">
        <v>4.0</v>
      </c>
      <c r="AY5" s="15">
        <v>4.0</v>
      </c>
      <c r="AZ5" s="15">
        <v>4.0</v>
      </c>
      <c r="BA5" s="20">
        <f t="shared" si="7"/>
        <v>24</v>
      </c>
      <c r="BB5" s="15">
        <v>4.0</v>
      </c>
      <c r="BC5" s="15">
        <v>4.0</v>
      </c>
      <c r="BD5" s="15">
        <v>4.0</v>
      </c>
      <c r="BE5" s="15">
        <v>4.0</v>
      </c>
      <c r="BF5" s="15">
        <v>4.0</v>
      </c>
      <c r="BG5" s="15">
        <v>4.0</v>
      </c>
      <c r="BH5" s="21">
        <f t="shared" si="8"/>
        <v>24</v>
      </c>
      <c r="BI5" s="15">
        <v>4.0</v>
      </c>
      <c r="BJ5" s="15">
        <v>4.0</v>
      </c>
      <c r="BK5" s="15">
        <v>4.0</v>
      </c>
      <c r="BL5" s="15">
        <v>4.0</v>
      </c>
      <c r="BM5" s="15">
        <v>4.0</v>
      </c>
      <c r="BN5" s="15">
        <v>4.0</v>
      </c>
      <c r="BO5" s="21">
        <f t="shared" si="9"/>
        <v>24</v>
      </c>
      <c r="BP5" s="22">
        <v>4.0</v>
      </c>
      <c r="BQ5" s="15">
        <v>4.0</v>
      </c>
      <c r="BR5" s="15">
        <v>4.0</v>
      </c>
      <c r="BS5" s="15">
        <v>4.0</v>
      </c>
      <c r="BT5" s="15">
        <v>4.0</v>
      </c>
      <c r="BU5" s="15">
        <v>4.0</v>
      </c>
      <c r="BV5" s="15">
        <v>4.0</v>
      </c>
      <c r="BW5" s="15">
        <v>4.0</v>
      </c>
      <c r="BX5" s="15">
        <v>4.0</v>
      </c>
      <c r="BY5" s="15">
        <v>4.0</v>
      </c>
      <c r="BZ5" s="15">
        <v>4.0</v>
      </c>
      <c r="CA5" s="15">
        <v>4.0</v>
      </c>
      <c r="CB5" s="23">
        <f t="shared" si="10"/>
        <v>48</v>
      </c>
      <c r="CC5" s="24">
        <v>24.0</v>
      </c>
      <c r="CD5" s="18">
        <v>24.0</v>
      </c>
      <c r="CE5" s="18">
        <v>24.0</v>
      </c>
      <c r="CF5" s="19">
        <v>24.0</v>
      </c>
      <c r="CG5" s="19">
        <v>24.0</v>
      </c>
      <c r="CH5" s="20">
        <v>24.0</v>
      </c>
      <c r="CI5" s="25">
        <v>24.0</v>
      </c>
      <c r="CJ5" s="25">
        <v>24.0</v>
      </c>
      <c r="CK5" s="26" t="str">
        <f t="shared" si="11"/>
        <v>Intrapersonal Intelligence</v>
      </c>
      <c r="CL5" s="26"/>
    </row>
    <row r="6" ht="22.5" customHeight="1">
      <c r="A6" s="14">
        <v>46025.596744594906</v>
      </c>
      <c r="B6" s="15" t="s">
        <v>96</v>
      </c>
      <c r="C6" s="15" t="s">
        <v>90</v>
      </c>
      <c r="D6" s="15" t="s">
        <v>91</v>
      </c>
      <c r="E6" s="15" t="s">
        <v>92</v>
      </c>
      <c r="F6" s="16"/>
      <c r="G6" s="15">
        <v>4.0</v>
      </c>
      <c r="H6" s="15">
        <v>4.0</v>
      </c>
      <c r="I6" s="15">
        <v>4.0</v>
      </c>
      <c r="J6" s="15">
        <v>4.0</v>
      </c>
      <c r="K6" s="17">
        <f t="shared" si="1"/>
        <v>16</v>
      </c>
      <c r="L6" s="15">
        <v>4.0</v>
      </c>
      <c r="M6" s="15">
        <v>4.0</v>
      </c>
      <c r="N6" s="15">
        <v>4.0</v>
      </c>
      <c r="O6" s="15">
        <v>4.0</v>
      </c>
      <c r="P6" s="15">
        <v>4.0</v>
      </c>
      <c r="Q6" s="15">
        <v>4.0</v>
      </c>
      <c r="R6" s="18">
        <f t="shared" si="2"/>
        <v>24</v>
      </c>
      <c r="S6" s="15">
        <v>4.0</v>
      </c>
      <c r="T6" s="15">
        <v>3.0</v>
      </c>
      <c r="U6" s="15">
        <v>4.0</v>
      </c>
      <c r="V6" s="15">
        <v>5.0</v>
      </c>
      <c r="W6" s="15">
        <v>4.0</v>
      </c>
      <c r="X6" s="15">
        <v>3.0</v>
      </c>
      <c r="Y6" s="18">
        <f t="shared" si="3"/>
        <v>23</v>
      </c>
      <c r="Z6" s="15">
        <v>4.0</v>
      </c>
      <c r="AA6" s="15">
        <v>5.0</v>
      </c>
      <c r="AB6" s="15">
        <v>3.0</v>
      </c>
      <c r="AC6" s="15">
        <v>5.0</v>
      </c>
      <c r="AD6" s="15">
        <v>4.0</v>
      </c>
      <c r="AE6" s="15">
        <v>4.0</v>
      </c>
      <c r="AF6" s="18">
        <f t="shared" si="4"/>
        <v>25</v>
      </c>
      <c r="AG6" s="15">
        <v>3.0</v>
      </c>
      <c r="AH6" s="15">
        <v>4.0</v>
      </c>
      <c r="AI6" s="15">
        <v>5.0</v>
      </c>
      <c r="AJ6" s="15">
        <v>4.0</v>
      </c>
      <c r="AK6" s="15">
        <v>4.0</v>
      </c>
      <c r="AL6" s="15">
        <v>4.0</v>
      </c>
      <c r="AM6" s="19">
        <f t="shared" si="5"/>
        <v>24</v>
      </c>
      <c r="AN6" s="15">
        <v>3.0</v>
      </c>
      <c r="AO6" s="15">
        <v>4.0</v>
      </c>
      <c r="AP6" s="15">
        <v>4.0</v>
      </c>
      <c r="AQ6" s="15">
        <v>5.0</v>
      </c>
      <c r="AR6" s="15">
        <v>4.0</v>
      </c>
      <c r="AS6" s="15">
        <v>4.0</v>
      </c>
      <c r="AT6" s="19">
        <f t="shared" si="6"/>
        <v>24</v>
      </c>
      <c r="AU6" s="15">
        <v>5.0</v>
      </c>
      <c r="AV6" s="15">
        <v>5.0</v>
      </c>
      <c r="AW6" s="15">
        <v>4.0</v>
      </c>
      <c r="AX6" s="15">
        <v>4.0</v>
      </c>
      <c r="AY6" s="15">
        <v>4.0</v>
      </c>
      <c r="AZ6" s="15">
        <v>4.0</v>
      </c>
      <c r="BA6" s="20">
        <f t="shared" si="7"/>
        <v>26</v>
      </c>
      <c r="BB6" s="15">
        <v>5.0</v>
      </c>
      <c r="BC6" s="15">
        <v>3.0</v>
      </c>
      <c r="BD6" s="15">
        <v>3.0</v>
      </c>
      <c r="BE6" s="15">
        <v>4.0</v>
      </c>
      <c r="BF6" s="15">
        <v>4.0</v>
      </c>
      <c r="BG6" s="15">
        <v>4.0</v>
      </c>
      <c r="BH6" s="21">
        <f t="shared" si="8"/>
        <v>23</v>
      </c>
      <c r="BI6" s="15">
        <v>4.0</v>
      </c>
      <c r="BJ6" s="15">
        <v>4.0</v>
      </c>
      <c r="BK6" s="15">
        <v>5.0</v>
      </c>
      <c r="BL6" s="15">
        <v>4.0</v>
      </c>
      <c r="BM6" s="15">
        <v>4.0</v>
      </c>
      <c r="BN6" s="15">
        <v>4.0</v>
      </c>
      <c r="BO6" s="21">
        <f t="shared" si="9"/>
        <v>25</v>
      </c>
      <c r="BP6" s="22">
        <v>5.0</v>
      </c>
      <c r="BQ6" s="15">
        <v>4.0</v>
      </c>
      <c r="BR6" s="15">
        <v>4.0</v>
      </c>
      <c r="BS6" s="15">
        <v>4.0</v>
      </c>
      <c r="BT6" s="15">
        <v>4.0</v>
      </c>
      <c r="BU6" s="15">
        <v>4.0</v>
      </c>
      <c r="BV6" s="15">
        <v>5.0</v>
      </c>
      <c r="BW6" s="15">
        <v>4.0</v>
      </c>
      <c r="BX6" s="15">
        <v>5.0</v>
      </c>
      <c r="BY6" s="15">
        <v>4.0</v>
      </c>
      <c r="BZ6" s="15">
        <v>4.0</v>
      </c>
      <c r="CA6" s="15">
        <v>4.0</v>
      </c>
      <c r="CB6" s="23">
        <f t="shared" si="10"/>
        <v>51</v>
      </c>
      <c r="CC6" s="24">
        <v>24.0</v>
      </c>
      <c r="CD6" s="18">
        <v>23.0</v>
      </c>
      <c r="CE6" s="18">
        <v>25.0</v>
      </c>
      <c r="CF6" s="19">
        <v>24.0</v>
      </c>
      <c r="CG6" s="19">
        <v>24.0</v>
      </c>
      <c r="CH6" s="20">
        <v>26.0</v>
      </c>
      <c r="CI6" s="25">
        <v>23.0</v>
      </c>
      <c r="CJ6" s="25">
        <v>25.0</v>
      </c>
      <c r="CK6" s="26" t="str">
        <f t="shared" si="11"/>
        <v>Naturalistic Intelligence
</v>
      </c>
      <c r="CL6" s="26"/>
    </row>
    <row r="7" ht="22.5" customHeight="1">
      <c r="A7" s="14">
        <v>46025.60044349537</v>
      </c>
      <c r="B7" s="15" t="s">
        <v>89</v>
      </c>
      <c r="C7" s="15" t="s">
        <v>90</v>
      </c>
      <c r="D7" s="15" t="s">
        <v>91</v>
      </c>
      <c r="E7" s="15" t="s">
        <v>97</v>
      </c>
      <c r="F7" s="16"/>
      <c r="G7" s="15">
        <v>4.0</v>
      </c>
      <c r="H7" s="15">
        <v>5.0</v>
      </c>
      <c r="I7" s="15">
        <v>5.0</v>
      </c>
      <c r="J7" s="15">
        <v>5.0</v>
      </c>
      <c r="K7" s="17">
        <f t="shared" si="1"/>
        <v>19</v>
      </c>
      <c r="L7" s="15">
        <v>4.0</v>
      </c>
      <c r="M7" s="15">
        <v>4.0</v>
      </c>
      <c r="N7" s="15">
        <v>4.0</v>
      </c>
      <c r="O7" s="15">
        <v>4.0</v>
      </c>
      <c r="P7" s="15">
        <v>4.0</v>
      </c>
      <c r="Q7" s="15">
        <v>4.0</v>
      </c>
      <c r="R7" s="18">
        <f t="shared" si="2"/>
        <v>24</v>
      </c>
      <c r="S7" s="15">
        <v>4.0</v>
      </c>
      <c r="T7" s="15">
        <v>4.0</v>
      </c>
      <c r="U7" s="15">
        <v>4.0</v>
      </c>
      <c r="V7" s="15">
        <v>4.0</v>
      </c>
      <c r="W7" s="15">
        <v>4.0</v>
      </c>
      <c r="X7" s="15">
        <v>4.0</v>
      </c>
      <c r="Y7" s="18">
        <f t="shared" si="3"/>
        <v>24</v>
      </c>
      <c r="Z7" s="15">
        <v>4.0</v>
      </c>
      <c r="AA7" s="15">
        <v>3.0</v>
      </c>
      <c r="AB7" s="15">
        <v>4.0</v>
      </c>
      <c r="AC7" s="15">
        <v>4.0</v>
      </c>
      <c r="AD7" s="15">
        <v>4.0</v>
      </c>
      <c r="AE7" s="15">
        <v>4.0</v>
      </c>
      <c r="AF7" s="18">
        <f t="shared" si="4"/>
        <v>23</v>
      </c>
      <c r="AG7" s="15">
        <v>4.0</v>
      </c>
      <c r="AH7" s="15">
        <v>4.0</v>
      </c>
      <c r="AI7" s="15">
        <v>4.0</v>
      </c>
      <c r="AJ7" s="15">
        <v>4.0</v>
      </c>
      <c r="AK7" s="15">
        <v>4.0</v>
      </c>
      <c r="AL7" s="15">
        <v>4.0</v>
      </c>
      <c r="AM7" s="19">
        <f t="shared" si="5"/>
        <v>24</v>
      </c>
      <c r="AN7" s="15">
        <v>4.0</v>
      </c>
      <c r="AO7" s="15">
        <v>4.0</v>
      </c>
      <c r="AP7" s="15">
        <v>4.0</v>
      </c>
      <c r="AQ7" s="15">
        <v>4.0</v>
      </c>
      <c r="AR7" s="15">
        <v>5.0</v>
      </c>
      <c r="AS7" s="15">
        <v>4.0</v>
      </c>
      <c r="AT7" s="19">
        <f t="shared" si="6"/>
        <v>25</v>
      </c>
      <c r="AU7" s="15">
        <v>5.0</v>
      </c>
      <c r="AV7" s="15">
        <v>5.0</v>
      </c>
      <c r="AW7" s="15">
        <v>5.0</v>
      </c>
      <c r="AX7" s="15">
        <v>5.0</v>
      </c>
      <c r="AY7" s="15">
        <v>5.0</v>
      </c>
      <c r="AZ7" s="15">
        <v>5.0</v>
      </c>
      <c r="BA7" s="20">
        <f t="shared" si="7"/>
        <v>30</v>
      </c>
      <c r="BB7" s="15">
        <v>5.0</v>
      </c>
      <c r="BC7" s="15">
        <v>5.0</v>
      </c>
      <c r="BD7" s="15">
        <v>5.0</v>
      </c>
      <c r="BE7" s="15">
        <v>5.0</v>
      </c>
      <c r="BF7" s="15">
        <v>5.0</v>
      </c>
      <c r="BG7" s="15">
        <v>5.0</v>
      </c>
      <c r="BH7" s="21">
        <f t="shared" si="8"/>
        <v>30</v>
      </c>
      <c r="BI7" s="15">
        <v>4.0</v>
      </c>
      <c r="BJ7" s="15">
        <v>4.0</v>
      </c>
      <c r="BK7" s="15">
        <v>4.0</v>
      </c>
      <c r="BL7" s="15">
        <v>4.0</v>
      </c>
      <c r="BM7" s="15">
        <v>4.0</v>
      </c>
      <c r="BN7" s="15">
        <v>4.0</v>
      </c>
      <c r="BO7" s="21">
        <f t="shared" si="9"/>
        <v>24</v>
      </c>
      <c r="BP7" s="22">
        <v>4.0</v>
      </c>
      <c r="BQ7" s="15">
        <v>4.0</v>
      </c>
      <c r="BR7" s="15">
        <v>4.0</v>
      </c>
      <c r="BS7" s="15">
        <v>4.0</v>
      </c>
      <c r="BT7" s="15">
        <v>4.0</v>
      </c>
      <c r="BU7" s="15">
        <v>4.0</v>
      </c>
      <c r="BV7" s="15">
        <v>4.0</v>
      </c>
      <c r="BW7" s="15">
        <v>4.0</v>
      </c>
      <c r="BX7" s="15">
        <v>4.0</v>
      </c>
      <c r="BY7" s="15">
        <v>4.0</v>
      </c>
      <c r="BZ7" s="15">
        <v>4.0</v>
      </c>
      <c r="CA7" s="15">
        <v>4.0</v>
      </c>
      <c r="CB7" s="23">
        <f t="shared" si="10"/>
        <v>48</v>
      </c>
      <c r="CC7" s="24">
        <v>24.0</v>
      </c>
      <c r="CD7" s="18">
        <v>24.0</v>
      </c>
      <c r="CE7" s="18">
        <v>23.0</v>
      </c>
      <c r="CF7" s="19">
        <v>24.0</v>
      </c>
      <c r="CG7" s="19">
        <v>25.0</v>
      </c>
      <c r="CH7" s="20">
        <v>30.0</v>
      </c>
      <c r="CI7" s="25">
        <v>30.0</v>
      </c>
      <c r="CJ7" s="25">
        <v>24.0</v>
      </c>
      <c r="CK7" s="26" t="str">
        <f t="shared" si="11"/>
        <v>Naturalistic Intelligence
</v>
      </c>
      <c r="CL7" s="26"/>
    </row>
    <row r="8" ht="22.5" customHeight="1">
      <c r="A8" s="14">
        <v>46025.61132631944</v>
      </c>
      <c r="B8" s="15" t="s">
        <v>89</v>
      </c>
      <c r="C8" s="15" t="s">
        <v>90</v>
      </c>
      <c r="D8" s="15" t="s">
        <v>91</v>
      </c>
      <c r="E8" s="15" t="s">
        <v>92</v>
      </c>
      <c r="F8" s="16"/>
      <c r="G8" s="15">
        <v>3.0</v>
      </c>
      <c r="H8" s="15">
        <v>4.0</v>
      </c>
      <c r="I8" s="15">
        <v>4.0</v>
      </c>
      <c r="J8" s="15">
        <v>3.0</v>
      </c>
      <c r="K8" s="17">
        <f t="shared" si="1"/>
        <v>14</v>
      </c>
      <c r="L8" s="15">
        <v>4.0</v>
      </c>
      <c r="M8" s="15">
        <v>2.0</v>
      </c>
      <c r="N8" s="15">
        <v>2.0</v>
      </c>
      <c r="O8" s="15">
        <v>3.0</v>
      </c>
      <c r="P8" s="15">
        <v>2.0</v>
      </c>
      <c r="Q8" s="15">
        <v>5.0</v>
      </c>
      <c r="R8" s="18">
        <f t="shared" si="2"/>
        <v>18</v>
      </c>
      <c r="S8" s="15">
        <v>5.0</v>
      </c>
      <c r="T8" s="15">
        <v>4.0</v>
      </c>
      <c r="U8" s="15">
        <v>2.0</v>
      </c>
      <c r="V8" s="15">
        <v>3.0</v>
      </c>
      <c r="W8" s="15">
        <v>2.0</v>
      </c>
      <c r="X8" s="15">
        <v>4.0</v>
      </c>
      <c r="Y8" s="18">
        <f t="shared" si="3"/>
        <v>20</v>
      </c>
      <c r="Z8" s="15">
        <v>3.0</v>
      </c>
      <c r="AA8" s="15">
        <v>2.0</v>
      </c>
      <c r="AB8" s="15">
        <v>4.0</v>
      </c>
      <c r="AC8" s="15">
        <v>5.0</v>
      </c>
      <c r="AD8" s="15">
        <v>4.0</v>
      </c>
      <c r="AE8" s="15">
        <v>3.0</v>
      </c>
      <c r="AF8" s="18">
        <f t="shared" si="4"/>
        <v>21</v>
      </c>
      <c r="AG8" s="15">
        <v>3.0</v>
      </c>
      <c r="AH8" s="15">
        <v>2.0</v>
      </c>
      <c r="AI8" s="15">
        <v>4.0</v>
      </c>
      <c r="AJ8" s="15">
        <v>3.0</v>
      </c>
      <c r="AK8" s="15">
        <v>5.0</v>
      </c>
      <c r="AL8" s="15">
        <v>5.0</v>
      </c>
      <c r="AM8" s="19">
        <f t="shared" si="5"/>
        <v>22</v>
      </c>
      <c r="AN8" s="15">
        <v>4.0</v>
      </c>
      <c r="AO8" s="15">
        <v>3.0</v>
      </c>
      <c r="AP8" s="15">
        <v>5.0</v>
      </c>
      <c r="AQ8" s="15">
        <v>3.0</v>
      </c>
      <c r="AR8" s="15">
        <v>3.0</v>
      </c>
      <c r="AS8" s="15">
        <v>3.0</v>
      </c>
      <c r="AT8" s="19">
        <f t="shared" si="6"/>
        <v>21</v>
      </c>
      <c r="AU8" s="15">
        <v>5.0</v>
      </c>
      <c r="AV8" s="15">
        <v>5.0</v>
      </c>
      <c r="AW8" s="15">
        <v>2.0</v>
      </c>
      <c r="AX8" s="15">
        <v>4.0</v>
      </c>
      <c r="AY8" s="15">
        <v>4.0</v>
      </c>
      <c r="AZ8" s="15">
        <v>4.0</v>
      </c>
      <c r="BA8" s="20">
        <f t="shared" si="7"/>
        <v>24</v>
      </c>
      <c r="BB8" s="15">
        <v>5.0</v>
      </c>
      <c r="BC8" s="15">
        <v>3.0</v>
      </c>
      <c r="BD8" s="15">
        <v>4.0</v>
      </c>
      <c r="BE8" s="15">
        <v>3.0</v>
      </c>
      <c r="BF8" s="15">
        <v>2.0</v>
      </c>
      <c r="BG8" s="15">
        <v>4.0</v>
      </c>
      <c r="BH8" s="21">
        <f t="shared" si="8"/>
        <v>21</v>
      </c>
      <c r="BI8" s="15">
        <v>4.0</v>
      </c>
      <c r="BJ8" s="15">
        <v>5.0</v>
      </c>
      <c r="BK8" s="15">
        <v>4.0</v>
      </c>
      <c r="BL8" s="15">
        <v>2.0</v>
      </c>
      <c r="BM8" s="15">
        <v>5.0</v>
      </c>
      <c r="BN8" s="15">
        <v>2.0</v>
      </c>
      <c r="BO8" s="21">
        <f t="shared" si="9"/>
        <v>22</v>
      </c>
      <c r="BP8" s="22">
        <v>3.0</v>
      </c>
      <c r="BQ8" s="15">
        <v>3.0</v>
      </c>
      <c r="BR8" s="15">
        <v>5.0</v>
      </c>
      <c r="BS8" s="15">
        <v>2.0</v>
      </c>
      <c r="BT8" s="15">
        <v>3.0</v>
      </c>
      <c r="BU8" s="15">
        <v>3.0</v>
      </c>
      <c r="BV8" s="15">
        <v>4.0</v>
      </c>
      <c r="BW8" s="15">
        <v>3.0</v>
      </c>
      <c r="BX8" s="15">
        <v>3.0</v>
      </c>
      <c r="BY8" s="15">
        <v>3.0</v>
      </c>
      <c r="BZ8" s="15">
        <v>3.0</v>
      </c>
      <c r="CA8" s="15">
        <v>4.0</v>
      </c>
      <c r="CB8" s="23">
        <f t="shared" si="10"/>
        <v>39</v>
      </c>
      <c r="CC8" s="24">
        <v>18.0</v>
      </c>
      <c r="CD8" s="18">
        <v>20.0</v>
      </c>
      <c r="CE8" s="18">
        <v>21.0</v>
      </c>
      <c r="CF8" s="19">
        <v>22.0</v>
      </c>
      <c r="CG8" s="19">
        <v>21.0</v>
      </c>
      <c r="CH8" s="20">
        <v>24.0</v>
      </c>
      <c r="CI8" s="25">
        <v>21.0</v>
      </c>
      <c r="CJ8" s="25">
        <v>22.0</v>
      </c>
      <c r="CK8" s="26" t="str">
        <f t="shared" si="11"/>
        <v>Naturalistic Intelligence
</v>
      </c>
      <c r="CL8" s="26"/>
    </row>
    <row r="9" ht="22.5" customHeight="1">
      <c r="A9" s="14">
        <v>46025.62453516204</v>
      </c>
      <c r="B9" s="15" t="s">
        <v>89</v>
      </c>
      <c r="C9" s="15" t="s">
        <v>90</v>
      </c>
      <c r="D9" s="15" t="s">
        <v>91</v>
      </c>
      <c r="E9" s="15" t="s">
        <v>92</v>
      </c>
      <c r="F9" s="16" t="s">
        <v>98</v>
      </c>
      <c r="G9" s="15">
        <v>3.0</v>
      </c>
      <c r="H9" s="15">
        <v>3.0</v>
      </c>
      <c r="I9" s="15">
        <v>3.0</v>
      </c>
      <c r="J9" s="15">
        <v>3.0</v>
      </c>
      <c r="K9" s="17">
        <f t="shared" si="1"/>
        <v>12</v>
      </c>
      <c r="L9" s="15">
        <v>2.0</v>
      </c>
      <c r="M9" s="15">
        <v>4.0</v>
      </c>
      <c r="N9" s="15">
        <v>2.0</v>
      </c>
      <c r="O9" s="15">
        <v>4.0</v>
      </c>
      <c r="P9" s="15">
        <v>4.0</v>
      </c>
      <c r="Q9" s="15">
        <v>4.0</v>
      </c>
      <c r="R9" s="18">
        <f t="shared" si="2"/>
        <v>20</v>
      </c>
      <c r="S9" s="15">
        <v>2.0</v>
      </c>
      <c r="T9" s="15">
        <v>2.0</v>
      </c>
      <c r="U9" s="15">
        <v>2.0</v>
      </c>
      <c r="V9" s="15">
        <v>2.0</v>
      </c>
      <c r="W9" s="15">
        <v>2.0</v>
      </c>
      <c r="X9" s="15">
        <v>2.0</v>
      </c>
      <c r="Y9" s="18">
        <f t="shared" si="3"/>
        <v>12</v>
      </c>
      <c r="Z9" s="15">
        <v>1.0</v>
      </c>
      <c r="AA9" s="15">
        <v>1.0</v>
      </c>
      <c r="AB9" s="15">
        <v>1.0</v>
      </c>
      <c r="AC9" s="15">
        <v>1.0</v>
      </c>
      <c r="AD9" s="15">
        <v>2.0</v>
      </c>
      <c r="AE9" s="15">
        <v>2.0</v>
      </c>
      <c r="AF9" s="18">
        <f t="shared" si="4"/>
        <v>8</v>
      </c>
      <c r="AG9" s="15">
        <v>2.0</v>
      </c>
      <c r="AH9" s="15">
        <v>2.0</v>
      </c>
      <c r="AI9" s="15">
        <v>2.0</v>
      </c>
      <c r="AJ9" s="15">
        <v>2.0</v>
      </c>
      <c r="AK9" s="15">
        <v>1.0</v>
      </c>
      <c r="AL9" s="15">
        <v>2.0</v>
      </c>
      <c r="AM9" s="19">
        <f t="shared" si="5"/>
        <v>11</v>
      </c>
      <c r="AN9" s="15">
        <v>2.0</v>
      </c>
      <c r="AO9" s="15">
        <v>1.0</v>
      </c>
      <c r="AP9" s="15">
        <v>1.0</v>
      </c>
      <c r="AQ9" s="15">
        <v>2.0</v>
      </c>
      <c r="AR9" s="15">
        <v>1.0</v>
      </c>
      <c r="AS9" s="15">
        <v>2.0</v>
      </c>
      <c r="AT9" s="19">
        <f t="shared" si="6"/>
        <v>9</v>
      </c>
      <c r="AU9" s="15">
        <v>4.0</v>
      </c>
      <c r="AV9" s="15">
        <v>4.0</v>
      </c>
      <c r="AW9" s="15">
        <v>4.0</v>
      </c>
      <c r="AX9" s="15">
        <v>2.0</v>
      </c>
      <c r="AY9" s="15">
        <v>2.0</v>
      </c>
      <c r="AZ9" s="15">
        <v>2.0</v>
      </c>
      <c r="BA9" s="20">
        <f t="shared" si="7"/>
        <v>18</v>
      </c>
      <c r="BB9" s="15">
        <v>2.0</v>
      </c>
      <c r="BC9" s="15">
        <v>2.0</v>
      </c>
      <c r="BD9" s="15">
        <v>2.0</v>
      </c>
      <c r="BE9" s="15">
        <v>2.0</v>
      </c>
      <c r="BF9" s="15">
        <v>2.0</v>
      </c>
      <c r="BG9" s="15">
        <v>4.0</v>
      </c>
      <c r="BH9" s="21">
        <f t="shared" si="8"/>
        <v>14</v>
      </c>
      <c r="BI9" s="15">
        <v>2.0</v>
      </c>
      <c r="BJ9" s="15">
        <v>4.0</v>
      </c>
      <c r="BK9" s="15">
        <v>4.0</v>
      </c>
      <c r="BL9" s="15">
        <v>4.0</v>
      </c>
      <c r="BM9" s="15">
        <v>2.0</v>
      </c>
      <c r="BN9" s="15">
        <v>2.0</v>
      </c>
      <c r="BO9" s="21">
        <f t="shared" si="9"/>
        <v>18</v>
      </c>
      <c r="BP9" s="22">
        <v>3.0</v>
      </c>
      <c r="BQ9" s="15">
        <v>3.0</v>
      </c>
      <c r="BR9" s="15">
        <v>3.0</v>
      </c>
      <c r="BS9" s="15">
        <v>4.0</v>
      </c>
      <c r="BT9" s="15">
        <v>3.0</v>
      </c>
      <c r="BU9" s="15">
        <v>3.0</v>
      </c>
      <c r="BV9" s="15">
        <v>3.0</v>
      </c>
      <c r="BW9" s="15">
        <v>3.0</v>
      </c>
      <c r="BX9" s="15">
        <v>3.0</v>
      </c>
      <c r="BY9" s="15">
        <v>3.0</v>
      </c>
      <c r="BZ9" s="15">
        <v>3.0</v>
      </c>
      <c r="CA9" s="15">
        <v>3.0</v>
      </c>
      <c r="CB9" s="23">
        <f t="shared" si="10"/>
        <v>37</v>
      </c>
      <c r="CC9" s="24">
        <v>20.0</v>
      </c>
      <c r="CD9" s="18">
        <v>12.0</v>
      </c>
      <c r="CE9" s="18">
        <v>8.0</v>
      </c>
      <c r="CF9" s="19">
        <v>11.0</v>
      </c>
      <c r="CG9" s="19">
        <v>9.0</v>
      </c>
      <c r="CH9" s="20">
        <v>18.0</v>
      </c>
      <c r="CI9" s="25">
        <v>14.0</v>
      </c>
      <c r="CJ9" s="25">
        <v>18.0</v>
      </c>
      <c r="CK9" s="26" t="str">
        <f t="shared" si="11"/>
        <v>Intrapersonal Intelligence</v>
      </c>
      <c r="CL9" s="26"/>
    </row>
    <row r="10" ht="22.5" customHeight="1">
      <c r="A10" s="14">
        <v>46025.64173368056</v>
      </c>
      <c r="B10" s="15" t="s">
        <v>89</v>
      </c>
      <c r="C10" s="15" t="s">
        <v>90</v>
      </c>
      <c r="D10" s="15" t="s">
        <v>91</v>
      </c>
      <c r="E10" s="15" t="s">
        <v>92</v>
      </c>
      <c r="F10" s="16" t="s">
        <v>99</v>
      </c>
      <c r="G10" s="15">
        <v>4.0</v>
      </c>
      <c r="H10" s="15">
        <v>4.0</v>
      </c>
      <c r="I10" s="15">
        <v>4.0</v>
      </c>
      <c r="J10" s="15">
        <v>4.0</v>
      </c>
      <c r="K10" s="17">
        <f t="shared" si="1"/>
        <v>16</v>
      </c>
      <c r="L10" s="15">
        <v>3.0</v>
      </c>
      <c r="M10" s="15">
        <v>4.0</v>
      </c>
      <c r="N10" s="15">
        <v>5.0</v>
      </c>
      <c r="O10" s="15">
        <v>4.0</v>
      </c>
      <c r="P10" s="15">
        <v>4.0</v>
      </c>
      <c r="Q10" s="15">
        <v>5.0</v>
      </c>
      <c r="R10" s="18">
        <f t="shared" si="2"/>
        <v>25</v>
      </c>
      <c r="S10" s="15">
        <v>4.0</v>
      </c>
      <c r="T10" s="15">
        <v>5.0</v>
      </c>
      <c r="U10" s="15">
        <v>4.0</v>
      </c>
      <c r="V10" s="15">
        <v>5.0</v>
      </c>
      <c r="W10" s="15">
        <v>4.0</v>
      </c>
      <c r="X10" s="15">
        <v>4.0</v>
      </c>
      <c r="Y10" s="18">
        <f t="shared" si="3"/>
        <v>26</v>
      </c>
      <c r="Z10" s="15">
        <v>4.0</v>
      </c>
      <c r="AA10" s="15">
        <v>4.0</v>
      </c>
      <c r="AB10" s="15">
        <v>4.0</v>
      </c>
      <c r="AC10" s="15">
        <v>5.0</v>
      </c>
      <c r="AD10" s="15">
        <v>4.0</v>
      </c>
      <c r="AE10" s="15">
        <v>5.0</v>
      </c>
      <c r="AF10" s="18">
        <f t="shared" si="4"/>
        <v>26</v>
      </c>
      <c r="AG10" s="15">
        <v>4.0</v>
      </c>
      <c r="AH10" s="15">
        <v>5.0</v>
      </c>
      <c r="AI10" s="15">
        <v>5.0</v>
      </c>
      <c r="AJ10" s="15">
        <v>4.0</v>
      </c>
      <c r="AK10" s="15">
        <v>5.0</v>
      </c>
      <c r="AL10" s="15">
        <v>4.0</v>
      </c>
      <c r="AM10" s="19">
        <f t="shared" si="5"/>
        <v>27</v>
      </c>
      <c r="AN10" s="15">
        <v>4.0</v>
      </c>
      <c r="AO10" s="15">
        <v>5.0</v>
      </c>
      <c r="AP10" s="15">
        <v>5.0</v>
      </c>
      <c r="AQ10" s="15">
        <v>5.0</v>
      </c>
      <c r="AR10" s="15">
        <v>4.0</v>
      </c>
      <c r="AS10" s="15">
        <v>5.0</v>
      </c>
      <c r="AT10" s="19">
        <f t="shared" si="6"/>
        <v>28</v>
      </c>
      <c r="AU10" s="15">
        <v>4.0</v>
      </c>
      <c r="AV10" s="15">
        <v>5.0</v>
      </c>
      <c r="AW10" s="15">
        <v>5.0</v>
      </c>
      <c r="AX10" s="15">
        <v>5.0</v>
      </c>
      <c r="AY10" s="15">
        <v>4.0</v>
      </c>
      <c r="AZ10" s="15">
        <v>5.0</v>
      </c>
      <c r="BA10" s="20">
        <f t="shared" si="7"/>
        <v>28</v>
      </c>
      <c r="BB10" s="15">
        <v>4.0</v>
      </c>
      <c r="BC10" s="15">
        <v>4.0</v>
      </c>
      <c r="BD10" s="15">
        <v>4.0</v>
      </c>
      <c r="BE10" s="15">
        <v>4.0</v>
      </c>
      <c r="BF10" s="15">
        <v>5.0</v>
      </c>
      <c r="BG10" s="15">
        <v>5.0</v>
      </c>
      <c r="BH10" s="21">
        <f t="shared" si="8"/>
        <v>26</v>
      </c>
      <c r="BI10" s="15">
        <v>4.0</v>
      </c>
      <c r="BJ10" s="15">
        <v>5.0</v>
      </c>
      <c r="BK10" s="15">
        <v>5.0</v>
      </c>
      <c r="BL10" s="15">
        <v>4.0</v>
      </c>
      <c r="BM10" s="15">
        <v>5.0</v>
      </c>
      <c r="BN10" s="15">
        <v>4.0</v>
      </c>
      <c r="BO10" s="21">
        <f t="shared" si="9"/>
        <v>27</v>
      </c>
      <c r="BP10" s="22">
        <v>5.0</v>
      </c>
      <c r="BQ10" s="15">
        <v>4.0</v>
      </c>
      <c r="BR10" s="15">
        <v>5.0</v>
      </c>
      <c r="BS10" s="15">
        <v>4.0</v>
      </c>
      <c r="BT10" s="15">
        <v>4.0</v>
      </c>
      <c r="BU10" s="15">
        <v>4.0</v>
      </c>
      <c r="BV10" s="15">
        <v>4.0</v>
      </c>
      <c r="BW10" s="15">
        <v>4.0</v>
      </c>
      <c r="BX10" s="15">
        <v>4.0</v>
      </c>
      <c r="BY10" s="15">
        <v>4.0</v>
      </c>
      <c r="BZ10" s="15">
        <v>4.0</v>
      </c>
      <c r="CA10" s="15">
        <v>4.0</v>
      </c>
      <c r="CB10" s="23">
        <f t="shared" si="10"/>
        <v>50</v>
      </c>
      <c r="CC10" s="24">
        <v>25.0</v>
      </c>
      <c r="CD10" s="18">
        <v>26.0</v>
      </c>
      <c r="CE10" s="18">
        <v>26.0</v>
      </c>
      <c r="CF10" s="19">
        <v>27.0</v>
      </c>
      <c r="CG10" s="19">
        <v>28.0</v>
      </c>
      <c r="CH10" s="20">
        <v>28.0</v>
      </c>
      <c r="CI10" s="25">
        <v>26.0</v>
      </c>
      <c r="CJ10" s="25">
        <v>27.0</v>
      </c>
      <c r="CK10" s="26" t="str">
        <f t="shared" si="11"/>
        <v>Linguistic Intelligence</v>
      </c>
      <c r="CL10" s="26"/>
    </row>
    <row r="11" ht="22.5" customHeight="1">
      <c r="A11" s="14">
        <v>46025.7063712963</v>
      </c>
      <c r="B11" s="15" t="s">
        <v>89</v>
      </c>
      <c r="C11" s="15" t="s">
        <v>90</v>
      </c>
      <c r="D11" s="15" t="s">
        <v>91</v>
      </c>
      <c r="E11" s="15" t="s">
        <v>92</v>
      </c>
      <c r="F11" s="16"/>
      <c r="G11" s="15">
        <v>4.0</v>
      </c>
      <c r="H11" s="15">
        <v>4.0</v>
      </c>
      <c r="I11" s="15">
        <v>4.0</v>
      </c>
      <c r="J11" s="15">
        <v>4.0</v>
      </c>
      <c r="K11" s="17">
        <f t="shared" si="1"/>
        <v>16</v>
      </c>
      <c r="L11" s="15">
        <v>4.0</v>
      </c>
      <c r="M11" s="15">
        <v>4.0</v>
      </c>
      <c r="N11" s="15">
        <v>4.0</v>
      </c>
      <c r="O11" s="15">
        <v>4.0</v>
      </c>
      <c r="P11" s="15">
        <v>4.0</v>
      </c>
      <c r="Q11" s="15">
        <v>4.0</v>
      </c>
      <c r="R11" s="18">
        <f t="shared" si="2"/>
        <v>24</v>
      </c>
      <c r="S11" s="15">
        <v>4.0</v>
      </c>
      <c r="T11" s="15">
        <v>4.0</v>
      </c>
      <c r="U11" s="15">
        <v>4.0</v>
      </c>
      <c r="V11" s="15">
        <v>4.0</v>
      </c>
      <c r="W11" s="15">
        <v>4.0</v>
      </c>
      <c r="X11" s="15">
        <v>4.0</v>
      </c>
      <c r="Y11" s="18">
        <f t="shared" si="3"/>
        <v>24</v>
      </c>
      <c r="Z11" s="15">
        <v>4.0</v>
      </c>
      <c r="AA11" s="15">
        <v>4.0</v>
      </c>
      <c r="AB11" s="15">
        <v>4.0</v>
      </c>
      <c r="AC11" s="15">
        <v>4.0</v>
      </c>
      <c r="AD11" s="15">
        <v>4.0</v>
      </c>
      <c r="AE11" s="15">
        <v>4.0</v>
      </c>
      <c r="AF11" s="18">
        <f t="shared" si="4"/>
        <v>24</v>
      </c>
      <c r="AG11" s="15">
        <v>4.0</v>
      </c>
      <c r="AH11" s="15">
        <v>4.0</v>
      </c>
      <c r="AI11" s="15">
        <v>4.0</v>
      </c>
      <c r="AJ11" s="15">
        <v>4.0</v>
      </c>
      <c r="AK11" s="15">
        <v>4.0</v>
      </c>
      <c r="AL11" s="15">
        <v>4.0</v>
      </c>
      <c r="AM11" s="19">
        <f t="shared" si="5"/>
        <v>24</v>
      </c>
      <c r="AN11" s="15">
        <v>4.0</v>
      </c>
      <c r="AO11" s="15">
        <v>4.0</v>
      </c>
      <c r="AP11" s="15">
        <v>4.0</v>
      </c>
      <c r="AQ11" s="15">
        <v>4.0</v>
      </c>
      <c r="AR11" s="15">
        <v>4.0</v>
      </c>
      <c r="AS11" s="15">
        <v>4.0</v>
      </c>
      <c r="AT11" s="19">
        <f t="shared" si="6"/>
        <v>24</v>
      </c>
      <c r="AU11" s="15">
        <v>4.0</v>
      </c>
      <c r="AV11" s="15">
        <v>4.0</v>
      </c>
      <c r="AW11" s="15">
        <v>4.0</v>
      </c>
      <c r="AX11" s="15">
        <v>4.0</v>
      </c>
      <c r="AY11" s="15">
        <v>4.0</v>
      </c>
      <c r="AZ11" s="15">
        <v>4.0</v>
      </c>
      <c r="BA11" s="20">
        <f t="shared" si="7"/>
        <v>24</v>
      </c>
      <c r="BB11" s="15">
        <v>4.0</v>
      </c>
      <c r="BC11" s="15">
        <v>4.0</v>
      </c>
      <c r="BD11" s="15">
        <v>4.0</v>
      </c>
      <c r="BE11" s="15">
        <v>4.0</v>
      </c>
      <c r="BF11" s="15">
        <v>4.0</v>
      </c>
      <c r="BG11" s="15">
        <v>4.0</v>
      </c>
      <c r="BH11" s="21">
        <f t="shared" si="8"/>
        <v>24</v>
      </c>
      <c r="BI11" s="15">
        <v>4.0</v>
      </c>
      <c r="BJ11" s="15">
        <v>4.0</v>
      </c>
      <c r="BK11" s="15">
        <v>4.0</v>
      </c>
      <c r="BL11" s="15">
        <v>4.0</v>
      </c>
      <c r="BM11" s="15">
        <v>4.0</v>
      </c>
      <c r="BN11" s="15">
        <v>4.0</v>
      </c>
      <c r="BO11" s="21">
        <f t="shared" si="9"/>
        <v>24</v>
      </c>
      <c r="BP11" s="22">
        <v>4.0</v>
      </c>
      <c r="BQ11" s="15">
        <v>4.0</v>
      </c>
      <c r="BR11" s="15">
        <v>4.0</v>
      </c>
      <c r="BS11" s="15">
        <v>4.0</v>
      </c>
      <c r="BT11" s="15">
        <v>4.0</v>
      </c>
      <c r="BU11" s="15">
        <v>4.0</v>
      </c>
      <c r="BV11" s="15">
        <v>4.0</v>
      </c>
      <c r="BW11" s="15">
        <v>4.0</v>
      </c>
      <c r="BX11" s="15">
        <v>4.0</v>
      </c>
      <c r="BY11" s="15">
        <v>4.0</v>
      </c>
      <c r="BZ11" s="15">
        <v>4.0</v>
      </c>
      <c r="CA11" s="15">
        <v>4.0</v>
      </c>
      <c r="CB11" s="23">
        <f t="shared" si="10"/>
        <v>48</v>
      </c>
      <c r="CC11" s="24">
        <v>24.0</v>
      </c>
      <c r="CD11" s="18">
        <v>24.0</v>
      </c>
      <c r="CE11" s="18">
        <v>24.0</v>
      </c>
      <c r="CF11" s="19">
        <v>24.0</v>
      </c>
      <c r="CG11" s="19">
        <v>24.0</v>
      </c>
      <c r="CH11" s="20">
        <v>24.0</v>
      </c>
      <c r="CI11" s="25">
        <v>24.0</v>
      </c>
      <c r="CJ11" s="25">
        <v>24.0</v>
      </c>
      <c r="CK11" s="26" t="str">
        <f t="shared" si="11"/>
        <v>Intrapersonal Intelligence</v>
      </c>
      <c r="CL11" s="26"/>
    </row>
    <row r="12" ht="22.5" customHeight="1">
      <c r="A12" s="14">
        <v>46025.77828013889</v>
      </c>
      <c r="B12" s="15" t="s">
        <v>89</v>
      </c>
      <c r="C12" s="15" t="s">
        <v>90</v>
      </c>
      <c r="D12" s="15" t="s">
        <v>91</v>
      </c>
      <c r="E12" s="15" t="s">
        <v>92</v>
      </c>
      <c r="F12" s="16" t="s">
        <v>100</v>
      </c>
      <c r="G12" s="15">
        <v>3.0</v>
      </c>
      <c r="H12" s="15">
        <v>3.0</v>
      </c>
      <c r="I12" s="15">
        <v>3.0</v>
      </c>
      <c r="J12" s="15">
        <v>3.0</v>
      </c>
      <c r="K12" s="17">
        <f t="shared" si="1"/>
        <v>12</v>
      </c>
      <c r="L12" s="15">
        <v>3.0</v>
      </c>
      <c r="M12" s="15">
        <v>3.0</v>
      </c>
      <c r="N12" s="15">
        <v>3.0</v>
      </c>
      <c r="O12" s="15">
        <v>3.0</v>
      </c>
      <c r="P12" s="15">
        <v>3.0</v>
      </c>
      <c r="Q12" s="15">
        <v>3.0</v>
      </c>
      <c r="R12" s="18">
        <f t="shared" si="2"/>
        <v>18</v>
      </c>
      <c r="S12" s="15">
        <v>3.0</v>
      </c>
      <c r="T12" s="15">
        <v>3.0</v>
      </c>
      <c r="U12" s="15">
        <v>3.0</v>
      </c>
      <c r="V12" s="15">
        <v>3.0</v>
      </c>
      <c r="W12" s="15">
        <v>3.0</v>
      </c>
      <c r="X12" s="15">
        <v>3.0</v>
      </c>
      <c r="Y12" s="18">
        <f t="shared" si="3"/>
        <v>18</v>
      </c>
      <c r="Z12" s="15">
        <v>3.0</v>
      </c>
      <c r="AA12" s="15">
        <v>3.0</v>
      </c>
      <c r="AB12" s="15">
        <v>3.0</v>
      </c>
      <c r="AC12" s="15">
        <v>3.0</v>
      </c>
      <c r="AD12" s="15">
        <v>3.0</v>
      </c>
      <c r="AE12" s="15">
        <v>3.0</v>
      </c>
      <c r="AF12" s="18">
        <f t="shared" si="4"/>
        <v>18</v>
      </c>
      <c r="AG12" s="15">
        <v>3.0</v>
      </c>
      <c r="AH12" s="15">
        <v>3.0</v>
      </c>
      <c r="AI12" s="15">
        <v>3.0</v>
      </c>
      <c r="AJ12" s="15">
        <v>3.0</v>
      </c>
      <c r="AK12" s="15">
        <v>3.0</v>
      </c>
      <c r="AL12" s="15">
        <v>3.0</v>
      </c>
      <c r="AM12" s="19">
        <f t="shared" si="5"/>
        <v>18</v>
      </c>
      <c r="AN12" s="15">
        <v>3.0</v>
      </c>
      <c r="AO12" s="15">
        <v>3.0</v>
      </c>
      <c r="AP12" s="15">
        <v>3.0</v>
      </c>
      <c r="AQ12" s="15">
        <v>3.0</v>
      </c>
      <c r="AR12" s="15">
        <v>3.0</v>
      </c>
      <c r="AS12" s="15">
        <v>3.0</v>
      </c>
      <c r="AT12" s="19">
        <f t="shared" si="6"/>
        <v>18</v>
      </c>
      <c r="AU12" s="15">
        <v>3.0</v>
      </c>
      <c r="AV12" s="15">
        <v>3.0</v>
      </c>
      <c r="AW12" s="15">
        <v>3.0</v>
      </c>
      <c r="AX12" s="15">
        <v>3.0</v>
      </c>
      <c r="AY12" s="15">
        <v>3.0</v>
      </c>
      <c r="AZ12" s="15">
        <v>3.0</v>
      </c>
      <c r="BA12" s="20">
        <f t="shared" si="7"/>
        <v>18</v>
      </c>
      <c r="BB12" s="15">
        <v>3.0</v>
      </c>
      <c r="BC12" s="15">
        <v>3.0</v>
      </c>
      <c r="BD12" s="15">
        <v>3.0</v>
      </c>
      <c r="BE12" s="15">
        <v>3.0</v>
      </c>
      <c r="BF12" s="15">
        <v>3.0</v>
      </c>
      <c r="BG12" s="15">
        <v>3.0</v>
      </c>
      <c r="BH12" s="21">
        <f t="shared" si="8"/>
        <v>18</v>
      </c>
      <c r="BI12" s="15">
        <v>3.0</v>
      </c>
      <c r="BJ12" s="15">
        <v>3.0</v>
      </c>
      <c r="BK12" s="15">
        <v>3.0</v>
      </c>
      <c r="BL12" s="15">
        <v>3.0</v>
      </c>
      <c r="BM12" s="15">
        <v>3.0</v>
      </c>
      <c r="BN12" s="15">
        <v>3.0</v>
      </c>
      <c r="BO12" s="21">
        <f t="shared" si="9"/>
        <v>18</v>
      </c>
      <c r="BP12" s="22">
        <v>3.0</v>
      </c>
      <c r="BQ12" s="15">
        <v>3.0</v>
      </c>
      <c r="BR12" s="15">
        <v>3.0</v>
      </c>
      <c r="BS12" s="15">
        <v>3.0</v>
      </c>
      <c r="BT12" s="15">
        <v>3.0</v>
      </c>
      <c r="BU12" s="15">
        <v>3.0</v>
      </c>
      <c r="BV12" s="15">
        <v>3.0</v>
      </c>
      <c r="BW12" s="15">
        <v>3.0</v>
      </c>
      <c r="BX12" s="15">
        <v>3.0</v>
      </c>
      <c r="BY12" s="15">
        <v>3.0</v>
      </c>
      <c r="BZ12" s="15">
        <v>3.0</v>
      </c>
      <c r="CA12" s="15">
        <v>3.0</v>
      </c>
      <c r="CB12" s="23">
        <f t="shared" si="10"/>
        <v>36</v>
      </c>
      <c r="CC12" s="24">
        <v>18.0</v>
      </c>
      <c r="CD12" s="18">
        <v>18.0</v>
      </c>
      <c r="CE12" s="18">
        <v>18.0</v>
      </c>
      <c r="CF12" s="19">
        <v>18.0</v>
      </c>
      <c r="CG12" s="19">
        <v>18.0</v>
      </c>
      <c r="CH12" s="20">
        <v>18.0</v>
      </c>
      <c r="CI12" s="25">
        <v>18.0</v>
      </c>
      <c r="CJ12" s="25">
        <v>18.0</v>
      </c>
      <c r="CK12" s="26" t="str">
        <f t="shared" si="11"/>
        <v>Intrapersonal Intelligence</v>
      </c>
      <c r="CL12" s="26"/>
    </row>
    <row r="13" ht="22.5" customHeight="1">
      <c r="A13" s="14">
        <v>46025.80706723379</v>
      </c>
      <c r="B13" s="15" t="s">
        <v>89</v>
      </c>
      <c r="C13" s="15" t="s">
        <v>90</v>
      </c>
      <c r="D13" s="15" t="s">
        <v>91</v>
      </c>
      <c r="E13" s="15" t="s">
        <v>92</v>
      </c>
      <c r="F13" s="16"/>
      <c r="G13" s="15">
        <v>4.0</v>
      </c>
      <c r="H13" s="15">
        <v>4.0</v>
      </c>
      <c r="I13" s="15">
        <v>4.0</v>
      </c>
      <c r="J13" s="15">
        <v>4.0</v>
      </c>
      <c r="K13" s="17">
        <f t="shared" si="1"/>
        <v>16</v>
      </c>
      <c r="L13" s="15">
        <v>4.0</v>
      </c>
      <c r="M13" s="15">
        <v>4.0</v>
      </c>
      <c r="N13" s="15">
        <v>4.0</v>
      </c>
      <c r="O13" s="15">
        <v>4.0</v>
      </c>
      <c r="P13" s="15">
        <v>4.0</v>
      </c>
      <c r="Q13" s="15">
        <v>4.0</v>
      </c>
      <c r="R13" s="18">
        <f t="shared" si="2"/>
        <v>24</v>
      </c>
      <c r="S13" s="15">
        <v>4.0</v>
      </c>
      <c r="T13" s="15">
        <v>4.0</v>
      </c>
      <c r="U13" s="15">
        <v>4.0</v>
      </c>
      <c r="V13" s="15">
        <v>4.0</v>
      </c>
      <c r="W13" s="15">
        <v>4.0</v>
      </c>
      <c r="X13" s="15">
        <v>4.0</v>
      </c>
      <c r="Y13" s="18">
        <f t="shared" si="3"/>
        <v>24</v>
      </c>
      <c r="Z13" s="15">
        <v>4.0</v>
      </c>
      <c r="AA13" s="15">
        <v>4.0</v>
      </c>
      <c r="AB13" s="15">
        <v>4.0</v>
      </c>
      <c r="AC13" s="15">
        <v>4.0</v>
      </c>
      <c r="AD13" s="15">
        <v>4.0</v>
      </c>
      <c r="AE13" s="15">
        <v>4.0</v>
      </c>
      <c r="AF13" s="18">
        <f t="shared" si="4"/>
        <v>24</v>
      </c>
      <c r="AG13" s="15">
        <v>4.0</v>
      </c>
      <c r="AH13" s="15">
        <v>4.0</v>
      </c>
      <c r="AI13" s="15">
        <v>4.0</v>
      </c>
      <c r="AJ13" s="15">
        <v>4.0</v>
      </c>
      <c r="AK13" s="15">
        <v>4.0</v>
      </c>
      <c r="AL13" s="15">
        <v>4.0</v>
      </c>
      <c r="AM13" s="19">
        <f t="shared" si="5"/>
        <v>24</v>
      </c>
      <c r="AN13" s="15">
        <v>4.0</v>
      </c>
      <c r="AO13" s="15">
        <v>4.0</v>
      </c>
      <c r="AP13" s="15">
        <v>4.0</v>
      </c>
      <c r="AQ13" s="15">
        <v>4.0</v>
      </c>
      <c r="AR13" s="15">
        <v>4.0</v>
      </c>
      <c r="AS13" s="15">
        <v>4.0</v>
      </c>
      <c r="AT13" s="19">
        <f t="shared" si="6"/>
        <v>24</v>
      </c>
      <c r="AU13" s="15">
        <v>4.0</v>
      </c>
      <c r="AV13" s="15">
        <v>4.0</v>
      </c>
      <c r="AW13" s="15">
        <v>4.0</v>
      </c>
      <c r="AX13" s="15">
        <v>4.0</v>
      </c>
      <c r="AY13" s="15">
        <v>4.0</v>
      </c>
      <c r="AZ13" s="15">
        <v>4.0</v>
      </c>
      <c r="BA13" s="20">
        <f t="shared" si="7"/>
        <v>24</v>
      </c>
      <c r="BB13" s="15">
        <v>4.0</v>
      </c>
      <c r="BC13" s="15">
        <v>4.0</v>
      </c>
      <c r="BD13" s="15">
        <v>4.0</v>
      </c>
      <c r="BE13" s="15">
        <v>4.0</v>
      </c>
      <c r="BF13" s="15">
        <v>4.0</v>
      </c>
      <c r="BG13" s="15">
        <v>4.0</v>
      </c>
      <c r="BH13" s="21">
        <f t="shared" si="8"/>
        <v>24</v>
      </c>
      <c r="BI13" s="15">
        <v>4.0</v>
      </c>
      <c r="BJ13" s="15">
        <v>4.0</v>
      </c>
      <c r="BK13" s="15">
        <v>4.0</v>
      </c>
      <c r="BL13" s="15">
        <v>4.0</v>
      </c>
      <c r="BM13" s="15">
        <v>4.0</v>
      </c>
      <c r="BN13" s="15">
        <v>4.0</v>
      </c>
      <c r="BO13" s="21">
        <f t="shared" si="9"/>
        <v>24</v>
      </c>
      <c r="BP13" s="22">
        <v>4.0</v>
      </c>
      <c r="BQ13" s="15">
        <v>4.0</v>
      </c>
      <c r="BR13" s="15">
        <v>4.0</v>
      </c>
      <c r="BS13" s="15">
        <v>4.0</v>
      </c>
      <c r="BT13" s="15">
        <v>4.0</v>
      </c>
      <c r="BU13" s="15">
        <v>4.0</v>
      </c>
      <c r="BV13" s="15">
        <v>4.0</v>
      </c>
      <c r="BW13" s="15">
        <v>4.0</v>
      </c>
      <c r="BX13" s="15">
        <v>4.0</v>
      </c>
      <c r="BY13" s="15">
        <v>4.0</v>
      </c>
      <c r="BZ13" s="15">
        <v>4.0</v>
      </c>
      <c r="CA13" s="15">
        <v>4.0</v>
      </c>
      <c r="CB13" s="23">
        <f t="shared" si="10"/>
        <v>48</v>
      </c>
      <c r="CC13" s="24">
        <v>24.0</v>
      </c>
      <c r="CD13" s="18">
        <v>24.0</v>
      </c>
      <c r="CE13" s="18">
        <v>24.0</v>
      </c>
      <c r="CF13" s="19">
        <v>24.0</v>
      </c>
      <c r="CG13" s="19">
        <v>24.0</v>
      </c>
      <c r="CH13" s="20">
        <v>24.0</v>
      </c>
      <c r="CI13" s="25">
        <v>24.0</v>
      </c>
      <c r="CJ13" s="25">
        <v>24.0</v>
      </c>
      <c r="CK13" s="26" t="str">
        <f t="shared" si="11"/>
        <v>Intrapersonal Intelligence</v>
      </c>
      <c r="CL13" s="26"/>
    </row>
    <row r="14" ht="22.5" customHeight="1">
      <c r="A14" s="14">
        <v>46025.81710523149</v>
      </c>
      <c r="B14" s="15" t="s">
        <v>89</v>
      </c>
      <c r="C14" s="15" t="s">
        <v>90</v>
      </c>
      <c r="D14" s="15" t="s">
        <v>91</v>
      </c>
      <c r="E14" s="15" t="s">
        <v>92</v>
      </c>
      <c r="F14" s="16"/>
      <c r="G14" s="15">
        <v>3.0</v>
      </c>
      <c r="H14" s="15">
        <v>3.0</v>
      </c>
      <c r="I14" s="15">
        <v>3.0</v>
      </c>
      <c r="J14" s="15">
        <v>3.0</v>
      </c>
      <c r="K14" s="17">
        <f t="shared" si="1"/>
        <v>12</v>
      </c>
      <c r="L14" s="15">
        <v>3.0</v>
      </c>
      <c r="M14" s="15">
        <v>3.0</v>
      </c>
      <c r="N14" s="15">
        <v>3.0</v>
      </c>
      <c r="O14" s="15">
        <v>3.0</v>
      </c>
      <c r="P14" s="15">
        <v>3.0</v>
      </c>
      <c r="Q14" s="15">
        <v>3.0</v>
      </c>
      <c r="R14" s="18">
        <f t="shared" si="2"/>
        <v>18</v>
      </c>
      <c r="S14" s="15">
        <v>3.0</v>
      </c>
      <c r="T14" s="15">
        <v>3.0</v>
      </c>
      <c r="U14" s="15">
        <v>3.0</v>
      </c>
      <c r="V14" s="15">
        <v>3.0</v>
      </c>
      <c r="W14" s="15">
        <v>3.0</v>
      </c>
      <c r="X14" s="15">
        <v>3.0</v>
      </c>
      <c r="Y14" s="18">
        <f t="shared" si="3"/>
        <v>18</v>
      </c>
      <c r="Z14" s="15">
        <v>3.0</v>
      </c>
      <c r="AA14" s="15">
        <v>3.0</v>
      </c>
      <c r="AB14" s="15">
        <v>3.0</v>
      </c>
      <c r="AC14" s="15">
        <v>3.0</v>
      </c>
      <c r="AD14" s="15">
        <v>3.0</v>
      </c>
      <c r="AE14" s="15">
        <v>3.0</v>
      </c>
      <c r="AF14" s="18">
        <f t="shared" si="4"/>
        <v>18</v>
      </c>
      <c r="AG14" s="15">
        <v>3.0</v>
      </c>
      <c r="AH14" s="15">
        <v>3.0</v>
      </c>
      <c r="AI14" s="15">
        <v>3.0</v>
      </c>
      <c r="AJ14" s="15">
        <v>3.0</v>
      </c>
      <c r="AK14" s="15">
        <v>3.0</v>
      </c>
      <c r="AL14" s="15">
        <v>3.0</v>
      </c>
      <c r="AM14" s="19">
        <f t="shared" si="5"/>
        <v>18</v>
      </c>
      <c r="AN14" s="15">
        <v>3.0</v>
      </c>
      <c r="AO14" s="15">
        <v>3.0</v>
      </c>
      <c r="AP14" s="15">
        <v>3.0</v>
      </c>
      <c r="AQ14" s="15">
        <v>3.0</v>
      </c>
      <c r="AR14" s="15">
        <v>3.0</v>
      </c>
      <c r="AS14" s="15">
        <v>3.0</v>
      </c>
      <c r="AT14" s="19">
        <f t="shared" si="6"/>
        <v>18</v>
      </c>
      <c r="AU14" s="15">
        <v>3.0</v>
      </c>
      <c r="AV14" s="15">
        <v>3.0</v>
      </c>
      <c r="AW14" s="15">
        <v>3.0</v>
      </c>
      <c r="AX14" s="15">
        <v>3.0</v>
      </c>
      <c r="AY14" s="15">
        <v>3.0</v>
      </c>
      <c r="AZ14" s="15">
        <v>3.0</v>
      </c>
      <c r="BA14" s="20">
        <f t="shared" si="7"/>
        <v>18</v>
      </c>
      <c r="BB14" s="15">
        <v>3.0</v>
      </c>
      <c r="BC14" s="15">
        <v>3.0</v>
      </c>
      <c r="BD14" s="15">
        <v>3.0</v>
      </c>
      <c r="BE14" s="15">
        <v>3.0</v>
      </c>
      <c r="BF14" s="15">
        <v>3.0</v>
      </c>
      <c r="BG14" s="15">
        <v>3.0</v>
      </c>
      <c r="BH14" s="21">
        <f t="shared" si="8"/>
        <v>18</v>
      </c>
      <c r="BI14" s="15">
        <v>3.0</v>
      </c>
      <c r="BJ14" s="15">
        <v>3.0</v>
      </c>
      <c r="BK14" s="15">
        <v>3.0</v>
      </c>
      <c r="BL14" s="15">
        <v>3.0</v>
      </c>
      <c r="BM14" s="15">
        <v>3.0</v>
      </c>
      <c r="BN14" s="15">
        <v>3.0</v>
      </c>
      <c r="BO14" s="21">
        <f t="shared" si="9"/>
        <v>18</v>
      </c>
      <c r="BP14" s="22">
        <v>3.0</v>
      </c>
      <c r="BQ14" s="15">
        <v>3.0</v>
      </c>
      <c r="BR14" s="15">
        <v>3.0</v>
      </c>
      <c r="BS14" s="15">
        <v>3.0</v>
      </c>
      <c r="BT14" s="15">
        <v>3.0</v>
      </c>
      <c r="BU14" s="15">
        <v>3.0</v>
      </c>
      <c r="BV14" s="15">
        <v>3.0</v>
      </c>
      <c r="BW14" s="15">
        <v>3.0</v>
      </c>
      <c r="BX14" s="15">
        <v>3.0</v>
      </c>
      <c r="BY14" s="15">
        <v>3.0</v>
      </c>
      <c r="BZ14" s="15">
        <v>3.0</v>
      </c>
      <c r="CA14" s="15">
        <v>3.0</v>
      </c>
      <c r="CB14" s="23">
        <f t="shared" si="10"/>
        <v>36</v>
      </c>
      <c r="CC14" s="24">
        <v>18.0</v>
      </c>
      <c r="CD14" s="18">
        <v>18.0</v>
      </c>
      <c r="CE14" s="18">
        <v>18.0</v>
      </c>
      <c r="CF14" s="19">
        <v>18.0</v>
      </c>
      <c r="CG14" s="19">
        <v>18.0</v>
      </c>
      <c r="CH14" s="20">
        <v>18.0</v>
      </c>
      <c r="CI14" s="25">
        <v>18.0</v>
      </c>
      <c r="CJ14" s="25">
        <v>18.0</v>
      </c>
      <c r="CK14" s="26" t="str">
        <f t="shared" si="11"/>
        <v>Intrapersonal Intelligence</v>
      </c>
      <c r="CL14" s="26"/>
    </row>
    <row r="15" ht="22.5" customHeight="1">
      <c r="A15" s="14">
        <v>46025.87203803241</v>
      </c>
      <c r="B15" s="15" t="s">
        <v>89</v>
      </c>
      <c r="C15" s="15" t="s">
        <v>90</v>
      </c>
      <c r="D15" s="15" t="s">
        <v>91</v>
      </c>
      <c r="E15" s="15" t="s">
        <v>92</v>
      </c>
      <c r="F15" s="16" t="s">
        <v>101</v>
      </c>
      <c r="G15" s="15">
        <v>4.0</v>
      </c>
      <c r="H15" s="15">
        <v>4.0</v>
      </c>
      <c r="I15" s="15">
        <v>4.0</v>
      </c>
      <c r="J15" s="15">
        <v>4.0</v>
      </c>
      <c r="K15" s="17">
        <f t="shared" si="1"/>
        <v>16</v>
      </c>
      <c r="L15" s="15">
        <v>3.0</v>
      </c>
      <c r="M15" s="15">
        <v>3.0</v>
      </c>
      <c r="N15" s="15">
        <v>3.0</v>
      </c>
      <c r="O15" s="15">
        <v>3.0</v>
      </c>
      <c r="P15" s="15">
        <v>3.0</v>
      </c>
      <c r="Q15" s="15">
        <v>3.0</v>
      </c>
      <c r="R15" s="18">
        <f t="shared" si="2"/>
        <v>18</v>
      </c>
      <c r="S15" s="15">
        <v>3.0</v>
      </c>
      <c r="T15" s="15">
        <v>3.0</v>
      </c>
      <c r="U15" s="15">
        <v>3.0</v>
      </c>
      <c r="V15" s="15">
        <v>3.0</v>
      </c>
      <c r="W15" s="15">
        <v>3.0</v>
      </c>
      <c r="X15" s="15">
        <v>3.0</v>
      </c>
      <c r="Y15" s="18">
        <f t="shared" si="3"/>
        <v>18</v>
      </c>
      <c r="Z15" s="15">
        <v>3.0</v>
      </c>
      <c r="AA15" s="15">
        <v>3.0</v>
      </c>
      <c r="AB15" s="15">
        <v>3.0</v>
      </c>
      <c r="AC15" s="15">
        <v>3.0</v>
      </c>
      <c r="AD15" s="15">
        <v>3.0</v>
      </c>
      <c r="AE15" s="15">
        <v>3.0</v>
      </c>
      <c r="AF15" s="18">
        <f t="shared" si="4"/>
        <v>18</v>
      </c>
      <c r="AG15" s="15">
        <v>3.0</v>
      </c>
      <c r="AH15" s="15">
        <v>3.0</v>
      </c>
      <c r="AI15" s="15">
        <v>3.0</v>
      </c>
      <c r="AJ15" s="15">
        <v>3.0</v>
      </c>
      <c r="AK15" s="15">
        <v>3.0</v>
      </c>
      <c r="AL15" s="15">
        <v>3.0</v>
      </c>
      <c r="AM15" s="19">
        <f t="shared" si="5"/>
        <v>18</v>
      </c>
      <c r="AN15" s="15">
        <v>3.0</v>
      </c>
      <c r="AO15" s="15">
        <v>3.0</v>
      </c>
      <c r="AP15" s="15">
        <v>3.0</v>
      </c>
      <c r="AQ15" s="15">
        <v>3.0</v>
      </c>
      <c r="AR15" s="15">
        <v>3.0</v>
      </c>
      <c r="AS15" s="15">
        <v>3.0</v>
      </c>
      <c r="AT15" s="19">
        <f t="shared" si="6"/>
        <v>18</v>
      </c>
      <c r="AU15" s="15">
        <v>3.0</v>
      </c>
      <c r="AV15" s="15">
        <v>3.0</v>
      </c>
      <c r="AW15" s="15">
        <v>3.0</v>
      </c>
      <c r="AX15" s="15">
        <v>3.0</v>
      </c>
      <c r="AY15" s="15">
        <v>3.0</v>
      </c>
      <c r="AZ15" s="15">
        <v>3.0</v>
      </c>
      <c r="BA15" s="20">
        <f t="shared" si="7"/>
        <v>18</v>
      </c>
      <c r="BB15" s="15">
        <v>3.0</v>
      </c>
      <c r="BC15" s="15">
        <v>3.0</v>
      </c>
      <c r="BD15" s="15">
        <v>3.0</v>
      </c>
      <c r="BE15" s="15">
        <v>3.0</v>
      </c>
      <c r="BF15" s="15">
        <v>3.0</v>
      </c>
      <c r="BG15" s="15">
        <v>3.0</v>
      </c>
      <c r="BH15" s="21">
        <f t="shared" si="8"/>
        <v>18</v>
      </c>
      <c r="BI15" s="15">
        <v>3.0</v>
      </c>
      <c r="BJ15" s="15">
        <v>3.0</v>
      </c>
      <c r="BK15" s="15">
        <v>3.0</v>
      </c>
      <c r="BL15" s="15">
        <v>3.0</v>
      </c>
      <c r="BM15" s="15">
        <v>3.0</v>
      </c>
      <c r="BN15" s="15">
        <v>3.0</v>
      </c>
      <c r="BO15" s="21">
        <f t="shared" si="9"/>
        <v>18</v>
      </c>
      <c r="BP15" s="22">
        <v>4.0</v>
      </c>
      <c r="BQ15" s="15">
        <v>4.0</v>
      </c>
      <c r="BR15" s="15">
        <v>4.0</v>
      </c>
      <c r="BS15" s="15">
        <v>4.0</v>
      </c>
      <c r="BT15" s="15">
        <v>4.0</v>
      </c>
      <c r="BU15" s="15">
        <v>4.0</v>
      </c>
      <c r="BV15" s="15">
        <v>4.0</v>
      </c>
      <c r="BW15" s="15">
        <v>4.0</v>
      </c>
      <c r="BX15" s="15">
        <v>4.0</v>
      </c>
      <c r="BY15" s="15">
        <v>4.0</v>
      </c>
      <c r="BZ15" s="15">
        <v>4.0</v>
      </c>
      <c r="CA15" s="15">
        <v>4.0</v>
      </c>
      <c r="CB15" s="23">
        <f t="shared" si="10"/>
        <v>48</v>
      </c>
      <c r="CC15" s="24">
        <v>18.0</v>
      </c>
      <c r="CD15" s="18">
        <v>18.0</v>
      </c>
      <c r="CE15" s="18">
        <v>18.0</v>
      </c>
      <c r="CF15" s="19">
        <v>18.0</v>
      </c>
      <c r="CG15" s="19">
        <v>18.0</v>
      </c>
      <c r="CH15" s="20">
        <v>18.0</v>
      </c>
      <c r="CI15" s="25">
        <v>18.0</v>
      </c>
      <c r="CJ15" s="25">
        <v>18.0</v>
      </c>
      <c r="CK15" s="26" t="str">
        <f t="shared" si="11"/>
        <v>Intrapersonal Intelligence</v>
      </c>
      <c r="CL15" s="26"/>
    </row>
    <row r="16" ht="22.5" customHeight="1">
      <c r="A16" s="14">
        <v>46025.883269259255</v>
      </c>
      <c r="B16" s="15" t="s">
        <v>89</v>
      </c>
      <c r="C16" s="15" t="s">
        <v>90</v>
      </c>
      <c r="D16" s="15" t="s">
        <v>91</v>
      </c>
      <c r="E16" s="15" t="s">
        <v>92</v>
      </c>
      <c r="F16" s="16"/>
      <c r="G16" s="15">
        <v>4.0</v>
      </c>
      <c r="H16" s="15">
        <v>5.0</v>
      </c>
      <c r="I16" s="15">
        <v>4.0</v>
      </c>
      <c r="J16" s="15">
        <v>5.0</v>
      </c>
      <c r="K16" s="17">
        <f t="shared" si="1"/>
        <v>18</v>
      </c>
      <c r="L16" s="15">
        <v>5.0</v>
      </c>
      <c r="M16" s="15">
        <v>4.0</v>
      </c>
      <c r="N16" s="15">
        <v>5.0</v>
      </c>
      <c r="O16" s="15">
        <v>4.0</v>
      </c>
      <c r="P16" s="15">
        <v>5.0</v>
      </c>
      <c r="Q16" s="15">
        <v>4.0</v>
      </c>
      <c r="R16" s="18">
        <f t="shared" si="2"/>
        <v>27</v>
      </c>
      <c r="S16" s="15">
        <v>4.0</v>
      </c>
      <c r="T16" s="15">
        <v>5.0</v>
      </c>
      <c r="U16" s="15">
        <v>4.0</v>
      </c>
      <c r="V16" s="15">
        <v>4.0</v>
      </c>
      <c r="W16" s="15">
        <v>5.0</v>
      </c>
      <c r="X16" s="15">
        <v>5.0</v>
      </c>
      <c r="Y16" s="18">
        <f t="shared" si="3"/>
        <v>27</v>
      </c>
      <c r="Z16" s="15">
        <v>4.0</v>
      </c>
      <c r="AA16" s="15">
        <v>4.0</v>
      </c>
      <c r="AB16" s="15">
        <v>5.0</v>
      </c>
      <c r="AC16" s="15">
        <v>5.0</v>
      </c>
      <c r="AD16" s="15">
        <v>4.0</v>
      </c>
      <c r="AE16" s="15">
        <v>5.0</v>
      </c>
      <c r="AF16" s="18">
        <f t="shared" si="4"/>
        <v>27</v>
      </c>
      <c r="AG16" s="15">
        <v>4.0</v>
      </c>
      <c r="AH16" s="15">
        <v>5.0</v>
      </c>
      <c r="AI16" s="15">
        <v>5.0</v>
      </c>
      <c r="AJ16" s="15">
        <v>4.0</v>
      </c>
      <c r="AK16" s="15">
        <v>5.0</v>
      </c>
      <c r="AL16" s="15">
        <v>4.0</v>
      </c>
      <c r="AM16" s="19">
        <f t="shared" si="5"/>
        <v>27</v>
      </c>
      <c r="AN16" s="15">
        <v>4.0</v>
      </c>
      <c r="AO16" s="15">
        <v>4.0</v>
      </c>
      <c r="AP16" s="15">
        <v>5.0</v>
      </c>
      <c r="AQ16" s="15">
        <v>4.0</v>
      </c>
      <c r="AR16" s="15">
        <v>5.0</v>
      </c>
      <c r="AS16" s="15">
        <v>5.0</v>
      </c>
      <c r="AT16" s="19">
        <f t="shared" si="6"/>
        <v>27</v>
      </c>
      <c r="AU16" s="15">
        <v>5.0</v>
      </c>
      <c r="AV16" s="15">
        <v>4.0</v>
      </c>
      <c r="AW16" s="15">
        <v>4.0</v>
      </c>
      <c r="AX16" s="15">
        <v>5.0</v>
      </c>
      <c r="AY16" s="15">
        <v>4.0</v>
      </c>
      <c r="AZ16" s="15">
        <v>4.0</v>
      </c>
      <c r="BA16" s="20">
        <f t="shared" si="7"/>
        <v>26</v>
      </c>
      <c r="BB16" s="15">
        <v>4.0</v>
      </c>
      <c r="BC16" s="15">
        <v>4.0</v>
      </c>
      <c r="BD16" s="15">
        <v>4.0</v>
      </c>
      <c r="BE16" s="15">
        <v>5.0</v>
      </c>
      <c r="BF16" s="15">
        <v>4.0</v>
      </c>
      <c r="BG16" s="15">
        <v>5.0</v>
      </c>
      <c r="BH16" s="21">
        <f t="shared" si="8"/>
        <v>26</v>
      </c>
      <c r="BI16" s="15">
        <v>5.0</v>
      </c>
      <c r="BJ16" s="15">
        <v>4.0</v>
      </c>
      <c r="BK16" s="15">
        <v>5.0</v>
      </c>
      <c r="BL16" s="15">
        <v>4.0</v>
      </c>
      <c r="BM16" s="15">
        <v>4.0</v>
      </c>
      <c r="BN16" s="15">
        <v>5.0</v>
      </c>
      <c r="BO16" s="21">
        <f t="shared" si="9"/>
        <v>27</v>
      </c>
      <c r="BP16" s="22">
        <v>4.0</v>
      </c>
      <c r="BQ16" s="15">
        <v>4.0</v>
      </c>
      <c r="BR16" s="15">
        <v>5.0</v>
      </c>
      <c r="BS16" s="15">
        <v>5.0</v>
      </c>
      <c r="BT16" s="15">
        <v>4.0</v>
      </c>
      <c r="BU16" s="15">
        <v>5.0</v>
      </c>
      <c r="BV16" s="15">
        <v>5.0</v>
      </c>
      <c r="BW16" s="15">
        <v>5.0</v>
      </c>
      <c r="BX16" s="15">
        <v>4.0</v>
      </c>
      <c r="BY16" s="15">
        <v>5.0</v>
      </c>
      <c r="BZ16" s="15">
        <v>5.0</v>
      </c>
      <c r="CA16" s="15">
        <v>4.0</v>
      </c>
      <c r="CB16" s="23">
        <f t="shared" si="10"/>
        <v>55</v>
      </c>
      <c r="CC16" s="24">
        <v>27.0</v>
      </c>
      <c r="CD16" s="18">
        <v>27.0</v>
      </c>
      <c r="CE16" s="18">
        <v>27.0</v>
      </c>
      <c r="CF16" s="19">
        <v>27.0</v>
      </c>
      <c r="CG16" s="19">
        <v>27.0</v>
      </c>
      <c r="CH16" s="20">
        <v>26.0</v>
      </c>
      <c r="CI16" s="25">
        <v>26.0</v>
      </c>
      <c r="CJ16" s="25">
        <v>27.0</v>
      </c>
      <c r="CK16" s="26" t="str">
        <f t="shared" si="11"/>
        <v>Intrapersonal Intelligence</v>
      </c>
      <c r="CL16" s="26"/>
    </row>
    <row r="17" ht="22.5" customHeight="1">
      <c r="A17" s="14">
        <v>46026.30454684028</v>
      </c>
      <c r="B17" s="15" t="s">
        <v>89</v>
      </c>
      <c r="C17" s="15" t="s">
        <v>90</v>
      </c>
      <c r="D17" s="15" t="s">
        <v>91</v>
      </c>
      <c r="E17" s="15" t="s">
        <v>97</v>
      </c>
      <c r="F17" s="16"/>
      <c r="G17" s="15">
        <v>3.0</v>
      </c>
      <c r="H17" s="15">
        <v>3.0</v>
      </c>
      <c r="I17" s="15">
        <v>4.0</v>
      </c>
      <c r="J17" s="15">
        <v>4.0</v>
      </c>
      <c r="K17" s="17">
        <f t="shared" si="1"/>
        <v>14</v>
      </c>
      <c r="L17" s="15">
        <v>3.0</v>
      </c>
      <c r="M17" s="15">
        <v>2.0</v>
      </c>
      <c r="N17" s="15">
        <v>3.0</v>
      </c>
      <c r="O17" s="15">
        <v>3.0</v>
      </c>
      <c r="P17" s="15">
        <v>4.0</v>
      </c>
      <c r="Q17" s="15">
        <v>3.0</v>
      </c>
      <c r="R17" s="18">
        <f t="shared" si="2"/>
        <v>18</v>
      </c>
      <c r="S17" s="15">
        <v>4.0</v>
      </c>
      <c r="T17" s="15">
        <v>4.0</v>
      </c>
      <c r="U17" s="15">
        <v>4.0</v>
      </c>
      <c r="V17" s="15">
        <v>4.0</v>
      </c>
      <c r="W17" s="15">
        <v>3.0</v>
      </c>
      <c r="X17" s="15">
        <v>3.0</v>
      </c>
      <c r="Y17" s="18">
        <f t="shared" si="3"/>
        <v>22</v>
      </c>
      <c r="Z17" s="15">
        <v>3.0</v>
      </c>
      <c r="AA17" s="15">
        <v>3.0</v>
      </c>
      <c r="AB17" s="15">
        <v>3.0</v>
      </c>
      <c r="AC17" s="15">
        <v>3.0</v>
      </c>
      <c r="AD17" s="15">
        <v>4.0</v>
      </c>
      <c r="AE17" s="15">
        <v>4.0</v>
      </c>
      <c r="AF17" s="18">
        <f t="shared" si="4"/>
        <v>20</v>
      </c>
      <c r="AG17" s="15">
        <v>4.0</v>
      </c>
      <c r="AH17" s="15">
        <v>3.0</v>
      </c>
      <c r="AI17" s="15">
        <v>3.0</v>
      </c>
      <c r="AJ17" s="15">
        <v>3.0</v>
      </c>
      <c r="AK17" s="15">
        <v>4.0</v>
      </c>
      <c r="AL17" s="15">
        <v>4.0</v>
      </c>
      <c r="AM17" s="19">
        <f t="shared" si="5"/>
        <v>21</v>
      </c>
      <c r="AN17" s="15">
        <v>4.0</v>
      </c>
      <c r="AO17" s="15">
        <v>4.0</v>
      </c>
      <c r="AP17" s="15">
        <v>4.0</v>
      </c>
      <c r="AQ17" s="15">
        <v>4.0</v>
      </c>
      <c r="AR17" s="15">
        <v>4.0</v>
      </c>
      <c r="AS17" s="15">
        <v>3.0</v>
      </c>
      <c r="AT17" s="19">
        <f t="shared" si="6"/>
        <v>23</v>
      </c>
      <c r="AU17" s="15">
        <v>4.0</v>
      </c>
      <c r="AV17" s="15">
        <v>3.0</v>
      </c>
      <c r="AW17" s="15">
        <v>3.0</v>
      </c>
      <c r="AX17" s="15">
        <v>4.0</v>
      </c>
      <c r="AY17" s="15">
        <v>3.0</v>
      </c>
      <c r="AZ17" s="15">
        <v>3.0</v>
      </c>
      <c r="BA17" s="20">
        <f t="shared" si="7"/>
        <v>20</v>
      </c>
      <c r="BB17" s="15">
        <v>4.0</v>
      </c>
      <c r="BC17" s="15">
        <v>4.0</v>
      </c>
      <c r="BD17" s="15">
        <v>4.0</v>
      </c>
      <c r="BE17" s="15">
        <v>4.0</v>
      </c>
      <c r="BF17" s="15">
        <v>3.0</v>
      </c>
      <c r="BG17" s="15">
        <v>3.0</v>
      </c>
      <c r="BH17" s="21">
        <f t="shared" si="8"/>
        <v>22</v>
      </c>
      <c r="BI17" s="15">
        <v>4.0</v>
      </c>
      <c r="BJ17" s="15">
        <v>3.0</v>
      </c>
      <c r="BK17" s="15">
        <v>3.0</v>
      </c>
      <c r="BL17" s="15">
        <v>3.0</v>
      </c>
      <c r="BM17" s="15">
        <v>4.0</v>
      </c>
      <c r="BN17" s="15">
        <v>4.0</v>
      </c>
      <c r="BO17" s="21">
        <f t="shared" si="9"/>
        <v>21</v>
      </c>
      <c r="BP17" s="22">
        <v>3.0</v>
      </c>
      <c r="BQ17" s="15">
        <v>3.0</v>
      </c>
      <c r="BR17" s="15">
        <v>4.0</v>
      </c>
      <c r="BS17" s="15">
        <v>4.0</v>
      </c>
      <c r="BT17" s="15">
        <v>3.0</v>
      </c>
      <c r="BU17" s="15">
        <v>4.0</v>
      </c>
      <c r="BV17" s="15">
        <v>3.0</v>
      </c>
      <c r="BW17" s="15">
        <v>3.0</v>
      </c>
      <c r="BX17" s="15">
        <v>4.0</v>
      </c>
      <c r="BY17" s="15">
        <v>4.0</v>
      </c>
      <c r="BZ17" s="15">
        <v>3.0</v>
      </c>
      <c r="CA17" s="15">
        <v>3.0</v>
      </c>
      <c r="CB17" s="23">
        <f t="shared" si="10"/>
        <v>41</v>
      </c>
      <c r="CC17" s="24">
        <v>18.0</v>
      </c>
      <c r="CD17" s="18">
        <v>22.0</v>
      </c>
      <c r="CE17" s="18">
        <v>20.0</v>
      </c>
      <c r="CF17" s="19">
        <v>21.0</v>
      </c>
      <c r="CG17" s="19">
        <v>23.0</v>
      </c>
      <c r="CH17" s="20">
        <v>20.0</v>
      </c>
      <c r="CI17" s="25">
        <v>22.0</v>
      </c>
      <c r="CJ17" s="25">
        <v>21.0</v>
      </c>
      <c r="CK17" s="26" t="str">
        <f t="shared" si="11"/>
        <v>Linguistic Intelligence</v>
      </c>
      <c r="CL17" s="26"/>
    </row>
    <row r="18" ht="22.5" customHeight="1">
      <c r="A18" s="14">
        <v>46026.44110927083</v>
      </c>
      <c r="B18" s="15" t="s">
        <v>89</v>
      </c>
      <c r="C18" s="15" t="s">
        <v>90</v>
      </c>
      <c r="D18" s="15" t="s">
        <v>91</v>
      </c>
      <c r="E18" s="15" t="s">
        <v>92</v>
      </c>
      <c r="F18" s="16" t="s">
        <v>102</v>
      </c>
      <c r="G18" s="15">
        <v>3.0</v>
      </c>
      <c r="H18" s="15">
        <v>3.0</v>
      </c>
      <c r="I18" s="15">
        <v>3.0</v>
      </c>
      <c r="J18" s="15">
        <v>3.0</v>
      </c>
      <c r="K18" s="17">
        <f t="shared" si="1"/>
        <v>12</v>
      </c>
      <c r="L18" s="15">
        <v>3.0</v>
      </c>
      <c r="M18" s="15">
        <v>3.0</v>
      </c>
      <c r="N18" s="15">
        <v>3.0</v>
      </c>
      <c r="O18" s="15">
        <v>3.0</v>
      </c>
      <c r="P18" s="15">
        <v>3.0</v>
      </c>
      <c r="Q18" s="15">
        <v>3.0</v>
      </c>
      <c r="R18" s="18">
        <f t="shared" si="2"/>
        <v>18</v>
      </c>
      <c r="S18" s="15">
        <v>3.0</v>
      </c>
      <c r="T18" s="15">
        <v>3.0</v>
      </c>
      <c r="U18" s="15">
        <v>3.0</v>
      </c>
      <c r="V18" s="15">
        <v>3.0</v>
      </c>
      <c r="W18" s="15">
        <v>3.0</v>
      </c>
      <c r="X18" s="15">
        <v>3.0</v>
      </c>
      <c r="Y18" s="18">
        <f t="shared" si="3"/>
        <v>18</v>
      </c>
      <c r="Z18" s="15">
        <v>3.0</v>
      </c>
      <c r="AA18" s="15">
        <v>3.0</v>
      </c>
      <c r="AB18" s="15">
        <v>3.0</v>
      </c>
      <c r="AC18" s="15">
        <v>3.0</v>
      </c>
      <c r="AD18" s="15">
        <v>3.0</v>
      </c>
      <c r="AE18" s="15">
        <v>3.0</v>
      </c>
      <c r="AF18" s="18">
        <f t="shared" si="4"/>
        <v>18</v>
      </c>
      <c r="AG18" s="15">
        <v>3.0</v>
      </c>
      <c r="AH18" s="15">
        <v>3.0</v>
      </c>
      <c r="AI18" s="15">
        <v>3.0</v>
      </c>
      <c r="AJ18" s="15">
        <v>3.0</v>
      </c>
      <c r="AK18" s="15">
        <v>3.0</v>
      </c>
      <c r="AL18" s="15">
        <v>3.0</v>
      </c>
      <c r="AM18" s="19">
        <f t="shared" si="5"/>
        <v>18</v>
      </c>
      <c r="AN18" s="15">
        <v>3.0</v>
      </c>
      <c r="AO18" s="15">
        <v>3.0</v>
      </c>
      <c r="AP18" s="15">
        <v>3.0</v>
      </c>
      <c r="AQ18" s="15">
        <v>3.0</v>
      </c>
      <c r="AR18" s="15">
        <v>3.0</v>
      </c>
      <c r="AS18" s="15">
        <v>3.0</v>
      </c>
      <c r="AT18" s="19">
        <f t="shared" si="6"/>
        <v>18</v>
      </c>
      <c r="AU18" s="15">
        <v>3.0</v>
      </c>
      <c r="AV18" s="15">
        <v>3.0</v>
      </c>
      <c r="AW18" s="15">
        <v>3.0</v>
      </c>
      <c r="AX18" s="15">
        <v>3.0</v>
      </c>
      <c r="AY18" s="15">
        <v>3.0</v>
      </c>
      <c r="AZ18" s="15">
        <v>3.0</v>
      </c>
      <c r="BA18" s="20">
        <f t="shared" si="7"/>
        <v>18</v>
      </c>
      <c r="BB18" s="15">
        <v>3.0</v>
      </c>
      <c r="BC18" s="15">
        <v>3.0</v>
      </c>
      <c r="BD18" s="15">
        <v>3.0</v>
      </c>
      <c r="BE18" s="15">
        <v>3.0</v>
      </c>
      <c r="BF18" s="15">
        <v>3.0</v>
      </c>
      <c r="BG18" s="15">
        <v>3.0</v>
      </c>
      <c r="BH18" s="21">
        <f t="shared" si="8"/>
        <v>18</v>
      </c>
      <c r="BI18" s="15">
        <v>3.0</v>
      </c>
      <c r="BJ18" s="15">
        <v>3.0</v>
      </c>
      <c r="BK18" s="15">
        <v>3.0</v>
      </c>
      <c r="BL18" s="15">
        <v>3.0</v>
      </c>
      <c r="BM18" s="15">
        <v>3.0</v>
      </c>
      <c r="BN18" s="15">
        <v>3.0</v>
      </c>
      <c r="BO18" s="21">
        <f t="shared" si="9"/>
        <v>18</v>
      </c>
      <c r="BP18" s="22">
        <v>3.0</v>
      </c>
      <c r="BQ18" s="15">
        <v>3.0</v>
      </c>
      <c r="BR18" s="15">
        <v>3.0</v>
      </c>
      <c r="BS18" s="15">
        <v>3.0</v>
      </c>
      <c r="BT18" s="15">
        <v>3.0</v>
      </c>
      <c r="BU18" s="15">
        <v>3.0</v>
      </c>
      <c r="BV18" s="15">
        <v>3.0</v>
      </c>
      <c r="BW18" s="15">
        <v>3.0</v>
      </c>
      <c r="BX18" s="15">
        <v>3.0</v>
      </c>
      <c r="BY18" s="15">
        <v>3.0</v>
      </c>
      <c r="BZ18" s="15">
        <v>3.0</v>
      </c>
      <c r="CA18" s="15">
        <v>3.0</v>
      </c>
      <c r="CB18" s="23">
        <f t="shared" si="10"/>
        <v>36</v>
      </c>
      <c r="CC18" s="24">
        <v>18.0</v>
      </c>
      <c r="CD18" s="18">
        <v>18.0</v>
      </c>
      <c r="CE18" s="18">
        <v>18.0</v>
      </c>
      <c r="CF18" s="19">
        <v>18.0</v>
      </c>
      <c r="CG18" s="19">
        <v>18.0</v>
      </c>
      <c r="CH18" s="20">
        <v>18.0</v>
      </c>
      <c r="CI18" s="25">
        <v>18.0</v>
      </c>
      <c r="CJ18" s="25">
        <v>18.0</v>
      </c>
      <c r="CK18" s="26" t="str">
        <f t="shared" si="11"/>
        <v>Intrapersonal Intelligence</v>
      </c>
      <c r="CL18" s="26"/>
    </row>
    <row r="19" ht="22.5" customHeight="1">
      <c r="A19" s="14">
        <v>46026.64537721065</v>
      </c>
      <c r="B19" s="15" t="s">
        <v>89</v>
      </c>
      <c r="C19" s="15" t="s">
        <v>90</v>
      </c>
      <c r="D19" s="15" t="s">
        <v>91</v>
      </c>
      <c r="E19" s="15" t="s">
        <v>92</v>
      </c>
      <c r="F19" s="16" t="s">
        <v>103</v>
      </c>
      <c r="G19" s="15">
        <v>5.0</v>
      </c>
      <c r="H19" s="15">
        <v>5.0</v>
      </c>
      <c r="I19" s="15">
        <v>5.0</v>
      </c>
      <c r="J19" s="15">
        <v>5.0</v>
      </c>
      <c r="K19" s="17">
        <f t="shared" si="1"/>
        <v>20</v>
      </c>
      <c r="L19" s="15">
        <v>5.0</v>
      </c>
      <c r="M19" s="15">
        <v>5.0</v>
      </c>
      <c r="N19" s="15">
        <v>5.0</v>
      </c>
      <c r="O19" s="15">
        <v>5.0</v>
      </c>
      <c r="P19" s="15">
        <v>5.0</v>
      </c>
      <c r="Q19" s="15">
        <v>5.0</v>
      </c>
      <c r="R19" s="18">
        <f t="shared" si="2"/>
        <v>30</v>
      </c>
      <c r="S19" s="15">
        <v>5.0</v>
      </c>
      <c r="T19" s="15">
        <v>5.0</v>
      </c>
      <c r="U19" s="15">
        <v>5.0</v>
      </c>
      <c r="V19" s="15">
        <v>5.0</v>
      </c>
      <c r="W19" s="15">
        <v>5.0</v>
      </c>
      <c r="X19" s="15">
        <v>5.0</v>
      </c>
      <c r="Y19" s="18">
        <f t="shared" si="3"/>
        <v>30</v>
      </c>
      <c r="Z19" s="15">
        <v>5.0</v>
      </c>
      <c r="AA19" s="15">
        <v>5.0</v>
      </c>
      <c r="AB19" s="15">
        <v>5.0</v>
      </c>
      <c r="AC19" s="15">
        <v>5.0</v>
      </c>
      <c r="AD19" s="15">
        <v>5.0</v>
      </c>
      <c r="AE19" s="15">
        <v>5.0</v>
      </c>
      <c r="AF19" s="18">
        <f t="shared" si="4"/>
        <v>30</v>
      </c>
      <c r="AG19" s="15">
        <v>5.0</v>
      </c>
      <c r="AH19" s="15">
        <v>5.0</v>
      </c>
      <c r="AI19" s="15">
        <v>5.0</v>
      </c>
      <c r="AJ19" s="15">
        <v>5.0</v>
      </c>
      <c r="AK19" s="15">
        <v>5.0</v>
      </c>
      <c r="AL19" s="15">
        <v>5.0</v>
      </c>
      <c r="AM19" s="19">
        <f t="shared" si="5"/>
        <v>30</v>
      </c>
      <c r="AN19" s="15">
        <v>5.0</v>
      </c>
      <c r="AO19" s="15">
        <v>5.0</v>
      </c>
      <c r="AP19" s="15">
        <v>5.0</v>
      </c>
      <c r="AQ19" s="15">
        <v>5.0</v>
      </c>
      <c r="AR19" s="15">
        <v>5.0</v>
      </c>
      <c r="AS19" s="15">
        <v>5.0</v>
      </c>
      <c r="AT19" s="19">
        <f t="shared" si="6"/>
        <v>30</v>
      </c>
      <c r="AU19" s="15">
        <v>5.0</v>
      </c>
      <c r="AV19" s="15">
        <v>5.0</v>
      </c>
      <c r="AW19" s="15">
        <v>5.0</v>
      </c>
      <c r="AX19" s="15">
        <v>5.0</v>
      </c>
      <c r="AY19" s="15">
        <v>5.0</v>
      </c>
      <c r="AZ19" s="15">
        <v>5.0</v>
      </c>
      <c r="BA19" s="20">
        <f t="shared" si="7"/>
        <v>30</v>
      </c>
      <c r="BB19" s="15">
        <v>5.0</v>
      </c>
      <c r="BC19" s="15">
        <v>5.0</v>
      </c>
      <c r="BD19" s="15">
        <v>5.0</v>
      </c>
      <c r="BE19" s="15">
        <v>5.0</v>
      </c>
      <c r="BF19" s="15">
        <v>5.0</v>
      </c>
      <c r="BG19" s="15">
        <v>5.0</v>
      </c>
      <c r="BH19" s="21">
        <f t="shared" si="8"/>
        <v>30</v>
      </c>
      <c r="BI19" s="15">
        <v>5.0</v>
      </c>
      <c r="BJ19" s="15">
        <v>5.0</v>
      </c>
      <c r="BK19" s="15">
        <v>5.0</v>
      </c>
      <c r="BL19" s="15">
        <v>5.0</v>
      </c>
      <c r="BM19" s="15">
        <v>5.0</v>
      </c>
      <c r="BN19" s="15">
        <v>5.0</v>
      </c>
      <c r="BO19" s="21">
        <f t="shared" si="9"/>
        <v>30</v>
      </c>
      <c r="BP19" s="22">
        <v>5.0</v>
      </c>
      <c r="BQ19" s="15">
        <v>5.0</v>
      </c>
      <c r="BR19" s="15">
        <v>5.0</v>
      </c>
      <c r="BS19" s="15">
        <v>5.0</v>
      </c>
      <c r="BT19" s="15">
        <v>5.0</v>
      </c>
      <c r="BU19" s="15">
        <v>5.0</v>
      </c>
      <c r="BV19" s="15">
        <v>5.0</v>
      </c>
      <c r="BW19" s="15">
        <v>5.0</v>
      </c>
      <c r="BX19" s="15">
        <v>5.0</v>
      </c>
      <c r="BY19" s="15">
        <v>5.0</v>
      </c>
      <c r="BZ19" s="15">
        <v>5.0</v>
      </c>
      <c r="CA19" s="15">
        <v>5.0</v>
      </c>
      <c r="CB19" s="23">
        <f t="shared" si="10"/>
        <v>60</v>
      </c>
      <c r="CC19" s="24">
        <v>30.0</v>
      </c>
      <c r="CD19" s="18">
        <v>30.0</v>
      </c>
      <c r="CE19" s="18">
        <v>30.0</v>
      </c>
      <c r="CF19" s="19">
        <v>30.0</v>
      </c>
      <c r="CG19" s="19">
        <v>30.0</v>
      </c>
      <c r="CH19" s="20">
        <v>30.0</v>
      </c>
      <c r="CI19" s="25">
        <v>30.0</v>
      </c>
      <c r="CJ19" s="25">
        <v>30.0</v>
      </c>
      <c r="CK19" s="26" t="str">
        <f t="shared" si="11"/>
        <v>Intrapersonal Intelligence</v>
      </c>
      <c r="CL19" s="26"/>
    </row>
    <row r="20" ht="22.5" customHeight="1">
      <c r="A20" s="14">
        <v>46027.40569575231</v>
      </c>
      <c r="B20" s="15" t="s">
        <v>89</v>
      </c>
      <c r="C20" s="15" t="s">
        <v>90</v>
      </c>
      <c r="D20" s="15" t="s">
        <v>91</v>
      </c>
      <c r="E20" s="15" t="s">
        <v>92</v>
      </c>
      <c r="F20" s="16" t="s">
        <v>104</v>
      </c>
      <c r="G20" s="15">
        <v>3.0</v>
      </c>
      <c r="H20" s="15">
        <v>3.0</v>
      </c>
      <c r="I20" s="15">
        <v>3.0</v>
      </c>
      <c r="J20" s="15">
        <v>3.0</v>
      </c>
      <c r="K20" s="17">
        <f t="shared" si="1"/>
        <v>12</v>
      </c>
      <c r="L20" s="15">
        <v>3.0</v>
      </c>
      <c r="M20" s="15">
        <v>4.0</v>
      </c>
      <c r="N20" s="15">
        <v>3.0</v>
      </c>
      <c r="O20" s="15">
        <v>4.0</v>
      </c>
      <c r="P20" s="15">
        <v>3.0</v>
      </c>
      <c r="Q20" s="15">
        <v>4.0</v>
      </c>
      <c r="R20" s="18">
        <f t="shared" si="2"/>
        <v>21</v>
      </c>
      <c r="S20" s="15">
        <v>3.0</v>
      </c>
      <c r="T20" s="15">
        <v>3.0</v>
      </c>
      <c r="U20" s="15">
        <v>3.0</v>
      </c>
      <c r="V20" s="15">
        <v>4.0</v>
      </c>
      <c r="W20" s="15">
        <v>4.0</v>
      </c>
      <c r="X20" s="15">
        <v>3.0</v>
      </c>
      <c r="Y20" s="18">
        <f t="shared" si="3"/>
        <v>20</v>
      </c>
      <c r="Z20" s="15">
        <v>4.0</v>
      </c>
      <c r="AA20" s="15">
        <v>3.0</v>
      </c>
      <c r="AB20" s="15">
        <v>3.0</v>
      </c>
      <c r="AC20" s="15">
        <v>3.0</v>
      </c>
      <c r="AD20" s="15">
        <v>4.0</v>
      </c>
      <c r="AE20" s="15">
        <v>4.0</v>
      </c>
      <c r="AF20" s="18">
        <f t="shared" si="4"/>
        <v>21</v>
      </c>
      <c r="AG20" s="15">
        <v>3.0</v>
      </c>
      <c r="AH20" s="15">
        <v>3.0</v>
      </c>
      <c r="AI20" s="15">
        <v>3.0</v>
      </c>
      <c r="AJ20" s="15">
        <v>3.0</v>
      </c>
      <c r="AK20" s="15">
        <v>4.0</v>
      </c>
      <c r="AL20" s="15">
        <v>3.0</v>
      </c>
      <c r="AM20" s="19">
        <f t="shared" si="5"/>
        <v>19</v>
      </c>
      <c r="AN20" s="15">
        <v>3.0</v>
      </c>
      <c r="AO20" s="15">
        <v>3.0</v>
      </c>
      <c r="AP20" s="15">
        <v>3.0</v>
      </c>
      <c r="AQ20" s="15">
        <v>3.0</v>
      </c>
      <c r="AR20" s="15">
        <v>4.0</v>
      </c>
      <c r="AS20" s="15">
        <v>3.0</v>
      </c>
      <c r="AT20" s="19">
        <f t="shared" si="6"/>
        <v>19</v>
      </c>
      <c r="AU20" s="15">
        <v>3.0</v>
      </c>
      <c r="AV20" s="15">
        <v>4.0</v>
      </c>
      <c r="AW20" s="15">
        <v>3.0</v>
      </c>
      <c r="AX20" s="15">
        <v>3.0</v>
      </c>
      <c r="AY20" s="15">
        <v>4.0</v>
      </c>
      <c r="AZ20" s="15">
        <v>3.0</v>
      </c>
      <c r="BA20" s="20">
        <f t="shared" si="7"/>
        <v>20</v>
      </c>
      <c r="BB20" s="15">
        <v>3.0</v>
      </c>
      <c r="BC20" s="15">
        <v>3.0</v>
      </c>
      <c r="BD20" s="15">
        <v>3.0</v>
      </c>
      <c r="BE20" s="15">
        <v>3.0</v>
      </c>
      <c r="BF20" s="15">
        <v>3.0</v>
      </c>
      <c r="BG20" s="15">
        <v>3.0</v>
      </c>
      <c r="BH20" s="21">
        <f t="shared" si="8"/>
        <v>18</v>
      </c>
      <c r="BI20" s="15">
        <v>3.0</v>
      </c>
      <c r="BJ20" s="15">
        <v>3.0</v>
      </c>
      <c r="BK20" s="15">
        <v>3.0</v>
      </c>
      <c r="BL20" s="15">
        <v>3.0</v>
      </c>
      <c r="BM20" s="15">
        <v>3.0</v>
      </c>
      <c r="BN20" s="15">
        <v>3.0</v>
      </c>
      <c r="BO20" s="21">
        <f t="shared" si="9"/>
        <v>18</v>
      </c>
      <c r="BP20" s="22">
        <v>3.0</v>
      </c>
      <c r="BQ20" s="15">
        <v>3.0</v>
      </c>
      <c r="BR20" s="15">
        <v>3.0</v>
      </c>
      <c r="BS20" s="15">
        <v>3.0</v>
      </c>
      <c r="BT20" s="15">
        <v>3.0</v>
      </c>
      <c r="BU20" s="15">
        <v>3.0</v>
      </c>
      <c r="BV20" s="15">
        <v>3.0</v>
      </c>
      <c r="BW20" s="15">
        <v>3.0</v>
      </c>
      <c r="BX20" s="15">
        <v>3.0</v>
      </c>
      <c r="BY20" s="15">
        <v>3.0</v>
      </c>
      <c r="BZ20" s="15">
        <v>3.0</v>
      </c>
      <c r="CA20" s="15">
        <v>3.0</v>
      </c>
      <c r="CB20" s="23">
        <f t="shared" si="10"/>
        <v>36</v>
      </c>
      <c r="CC20" s="24">
        <v>21.0</v>
      </c>
      <c r="CD20" s="18">
        <v>20.0</v>
      </c>
      <c r="CE20" s="18">
        <v>21.0</v>
      </c>
      <c r="CF20" s="19">
        <v>19.0</v>
      </c>
      <c r="CG20" s="19">
        <v>19.0</v>
      </c>
      <c r="CH20" s="20">
        <v>20.0</v>
      </c>
      <c r="CI20" s="25">
        <v>18.0</v>
      </c>
      <c r="CJ20" s="25">
        <v>18.0</v>
      </c>
      <c r="CK20" s="26" t="str">
        <f t="shared" si="11"/>
        <v>Intrapersonal Intelligence</v>
      </c>
      <c r="CL20" s="26"/>
    </row>
    <row r="21" ht="22.5" customHeight="1">
      <c r="A21" s="14">
        <v>46027.80154976852</v>
      </c>
      <c r="B21" s="15" t="s">
        <v>89</v>
      </c>
      <c r="C21" s="15" t="s">
        <v>90</v>
      </c>
      <c r="D21" s="15" t="s">
        <v>91</v>
      </c>
      <c r="E21" s="15" t="s">
        <v>92</v>
      </c>
      <c r="F21" s="16"/>
      <c r="G21" s="15">
        <v>4.0</v>
      </c>
      <c r="H21" s="15">
        <v>4.0</v>
      </c>
      <c r="I21" s="15">
        <v>4.0</v>
      </c>
      <c r="J21" s="15">
        <v>4.0</v>
      </c>
      <c r="K21" s="17">
        <f t="shared" si="1"/>
        <v>16</v>
      </c>
      <c r="L21" s="15">
        <v>4.0</v>
      </c>
      <c r="M21" s="15">
        <v>4.0</v>
      </c>
      <c r="N21" s="15">
        <v>4.0</v>
      </c>
      <c r="O21" s="15">
        <v>4.0</v>
      </c>
      <c r="P21" s="15">
        <v>4.0</v>
      </c>
      <c r="Q21" s="15">
        <v>4.0</v>
      </c>
      <c r="R21" s="18">
        <f t="shared" si="2"/>
        <v>24</v>
      </c>
      <c r="S21" s="15">
        <v>4.0</v>
      </c>
      <c r="T21" s="15">
        <v>4.0</v>
      </c>
      <c r="U21" s="15">
        <v>4.0</v>
      </c>
      <c r="V21" s="15">
        <v>4.0</v>
      </c>
      <c r="W21" s="15">
        <v>4.0</v>
      </c>
      <c r="X21" s="15">
        <v>4.0</v>
      </c>
      <c r="Y21" s="18">
        <f t="shared" si="3"/>
        <v>24</v>
      </c>
      <c r="Z21" s="15">
        <v>4.0</v>
      </c>
      <c r="AA21" s="15">
        <v>4.0</v>
      </c>
      <c r="AB21" s="15">
        <v>4.0</v>
      </c>
      <c r="AC21" s="15">
        <v>4.0</v>
      </c>
      <c r="AD21" s="15">
        <v>4.0</v>
      </c>
      <c r="AE21" s="15">
        <v>4.0</v>
      </c>
      <c r="AF21" s="18">
        <f t="shared" si="4"/>
        <v>24</v>
      </c>
      <c r="AG21" s="15">
        <v>4.0</v>
      </c>
      <c r="AH21" s="15">
        <v>4.0</v>
      </c>
      <c r="AI21" s="15">
        <v>4.0</v>
      </c>
      <c r="AJ21" s="15">
        <v>4.0</v>
      </c>
      <c r="AK21" s="15">
        <v>4.0</v>
      </c>
      <c r="AL21" s="15">
        <v>4.0</v>
      </c>
      <c r="AM21" s="19">
        <f t="shared" si="5"/>
        <v>24</v>
      </c>
      <c r="AN21" s="15">
        <v>4.0</v>
      </c>
      <c r="AO21" s="15">
        <v>4.0</v>
      </c>
      <c r="AP21" s="15">
        <v>4.0</v>
      </c>
      <c r="AQ21" s="15">
        <v>4.0</v>
      </c>
      <c r="AR21" s="15">
        <v>4.0</v>
      </c>
      <c r="AS21" s="15">
        <v>4.0</v>
      </c>
      <c r="AT21" s="19">
        <f t="shared" si="6"/>
        <v>24</v>
      </c>
      <c r="AU21" s="15">
        <v>4.0</v>
      </c>
      <c r="AV21" s="15">
        <v>4.0</v>
      </c>
      <c r="AW21" s="15">
        <v>4.0</v>
      </c>
      <c r="AX21" s="15">
        <v>4.0</v>
      </c>
      <c r="AY21" s="15">
        <v>4.0</v>
      </c>
      <c r="AZ21" s="15">
        <v>4.0</v>
      </c>
      <c r="BA21" s="20">
        <f t="shared" si="7"/>
        <v>24</v>
      </c>
      <c r="BB21" s="15">
        <v>4.0</v>
      </c>
      <c r="BC21" s="15">
        <v>4.0</v>
      </c>
      <c r="BD21" s="15">
        <v>4.0</v>
      </c>
      <c r="BE21" s="15">
        <v>4.0</v>
      </c>
      <c r="BF21" s="15">
        <v>4.0</v>
      </c>
      <c r="BG21" s="15">
        <v>4.0</v>
      </c>
      <c r="BH21" s="21">
        <f t="shared" si="8"/>
        <v>24</v>
      </c>
      <c r="BI21" s="15">
        <v>4.0</v>
      </c>
      <c r="BJ21" s="15">
        <v>4.0</v>
      </c>
      <c r="BK21" s="15">
        <v>4.0</v>
      </c>
      <c r="BL21" s="15">
        <v>4.0</v>
      </c>
      <c r="BM21" s="15">
        <v>4.0</v>
      </c>
      <c r="BN21" s="15">
        <v>4.0</v>
      </c>
      <c r="BO21" s="21">
        <f t="shared" si="9"/>
        <v>24</v>
      </c>
      <c r="BP21" s="22">
        <v>4.0</v>
      </c>
      <c r="BQ21" s="15">
        <v>4.0</v>
      </c>
      <c r="BR21" s="15">
        <v>4.0</v>
      </c>
      <c r="BS21" s="15">
        <v>4.0</v>
      </c>
      <c r="BT21" s="15">
        <v>4.0</v>
      </c>
      <c r="BU21" s="15">
        <v>4.0</v>
      </c>
      <c r="BV21" s="15">
        <v>4.0</v>
      </c>
      <c r="BW21" s="15">
        <v>4.0</v>
      </c>
      <c r="BX21" s="15">
        <v>4.0</v>
      </c>
      <c r="BY21" s="15">
        <v>4.0</v>
      </c>
      <c r="BZ21" s="15">
        <v>4.0</v>
      </c>
      <c r="CA21" s="15">
        <v>4.0</v>
      </c>
      <c r="CB21" s="23">
        <f t="shared" si="10"/>
        <v>48</v>
      </c>
      <c r="CC21" s="24">
        <v>24.0</v>
      </c>
      <c r="CD21" s="18">
        <v>24.0</v>
      </c>
      <c r="CE21" s="18">
        <v>24.0</v>
      </c>
      <c r="CF21" s="19">
        <v>24.0</v>
      </c>
      <c r="CG21" s="19">
        <v>24.0</v>
      </c>
      <c r="CH21" s="20">
        <v>24.0</v>
      </c>
      <c r="CI21" s="25">
        <v>24.0</v>
      </c>
      <c r="CJ21" s="25">
        <v>24.0</v>
      </c>
      <c r="CK21" s="26" t="str">
        <f t="shared" si="11"/>
        <v>Intrapersonal Intelligence</v>
      </c>
      <c r="CL21" s="26"/>
    </row>
    <row r="22" ht="22.5" customHeight="1">
      <c r="A22" s="14">
        <v>46027.80199232639</v>
      </c>
      <c r="B22" s="15" t="s">
        <v>89</v>
      </c>
      <c r="C22" s="15" t="s">
        <v>90</v>
      </c>
      <c r="D22" s="15" t="s">
        <v>91</v>
      </c>
      <c r="E22" s="15" t="s">
        <v>92</v>
      </c>
      <c r="F22" s="16"/>
      <c r="G22" s="15">
        <v>5.0</v>
      </c>
      <c r="H22" s="15">
        <v>5.0</v>
      </c>
      <c r="I22" s="15">
        <v>5.0</v>
      </c>
      <c r="J22" s="15">
        <v>5.0</v>
      </c>
      <c r="K22" s="17">
        <f t="shared" si="1"/>
        <v>20</v>
      </c>
      <c r="L22" s="15">
        <v>5.0</v>
      </c>
      <c r="M22" s="15">
        <v>5.0</v>
      </c>
      <c r="N22" s="15">
        <v>5.0</v>
      </c>
      <c r="O22" s="15">
        <v>5.0</v>
      </c>
      <c r="P22" s="15">
        <v>5.0</v>
      </c>
      <c r="Q22" s="15">
        <v>5.0</v>
      </c>
      <c r="R22" s="18">
        <f t="shared" si="2"/>
        <v>30</v>
      </c>
      <c r="S22" s="15">
        <v>5.0</v>
      </c>
      <c r="T22" s="15">
        <v>5.0</v>
      </c>
      <c r="U22" s="15">
        <v>5.0</v>
      </c>
      <c r="V22" s="15">
        <v>5.0</v>
      </c>
      <c r="W22" s="15">
        <v>5.0</v>
      </c>
      <c r="X22" s="15">
        <v>5.0</v>
      </c>
      <c r="Y22" s="18">
        <f t="shared" si="3"/>
        <v>30</v>
      </c>
      <c r="Z22" s="15">
        <v>5.0</v>
      </c>
      <c r="AA22" s="15">
        <v>5.0</v>
      </c>
      <c r="AB22" s="15">
        <v>5.0</v>
      </c>
      <c r="AC22" s="15">
        <v>5.0</v>
      </c>
      <c r="AD22" s="15">
        <v>5.0</v>
      </c>
      <c r="AE22" s="15">
        <v>5.0</v>
      </c>
      <c r="AF22" s="18">
        <f t="shared" si="4"/>
        <v>30</v>
      </c>
      <c r="AG22" s="15">
        <v>5.0</v>
      </c>
      <c r="AH22" s="15">
        <v>5.0</v>
      </c>
      <c r="AI22" s="15">
        <v>5.0</v>
      </c>
      <c r="AJ22" s="15">
        <v>5.0</v>
      </c>
      <c r="AK22" s="15">
        <v>5.0</v>
      </c>
      <c r="AL22" s="15">
        <v>5.0</v>
      </c>
      <c r="AM22" s="19">
        <f t="shared" si="5"/>
        <v>30</v>
      </c>
      <c r="AN22" s="15">
        <v>5.0</v>
      </c>
      <c r="AO22" s="15">
        <v>5.0</v>
      </c>
      <c r="AP22" s="15">
        <v>5.0</v>
      </c>
      <c r="AQ22" s="15">
        <v>5.0</v>
      </c>
      <c r="AR22" s="15">
        <v>5.0</v>
      </c>
      <c r="AS22" s="15">
        <v>5.0</v>
      </c>
      <c r="AT22" s="19">
        <f t="shared" si="6"/>
        <v>30</v>
      </c>
      <c r="AU22" s="15">
        <v>5.0</v>
      </c>
      <c r="AV22" s="15">
        <v>5.0</v>
      </c>
      <c r="AW22" s="15">
        <v>5.0</v>
      </c>
      <c r="AX22" s="15">
        <v>5.0</v>
      </c>
      <c r="AY22" s="15">
        <v>5.0</v>
      </c>
      <c r="AZ22" s="15">
        <v>5.0</v>
      </c>
      <c r="BA22" s="20">
        <f t="shared" si="7"/>
        <v>30</v>
      </c>
      <c r="BB22" s="15">
        <v>5.0</v>
      </c>
      <c r="BC22" s="15">
        <v>5.0</v>
      </c>
      <c r="BD22" s="15">
        <v>5.0</v>
      </c>
      <c r="BE22" s="15">
        <v>5.0</v>
      </c>
      <c r="BF22" s="15">
        <v>5.0</v>
      </c>
      <c r="BG22" s="15">
        <v>5.0</v>
      </c>
      <c r="BH22" s="21">
        <f t="shared" si="8"/>
        <v>30</v>
      </c>
      <c r="BI22" s="15">
        <v>5.0</v>
      </c>
      <c r="BJ22" s="15">
        <v>5.0</v>
      </c>
      <c r="BK22" s="15">
        <v>5.0</v>
      </c>
      <c r="BL22" s="15">
        <v>5.0</v>
      </c>
      <c r="BM22" s="15">
        <v>5.0</v>
      </c>
      <c r="BN22" s="15">
        <v>5.0</v>
      </c>
      <c r="BO22" s="21">
        <f t="shared" si="9"/>
        <v>30</v>
      </c>
      <c r="BP22" s="22">
        <v>5.0</v>
      </c>
      <c r="BQ22" s="15">
        <v>5.0</v>
      </c>
      <c r="BR22" s="15">
        <v>5.0</v>
      </c>
      <c r="BS22" s="15">
        <v>5.0</v>
      </c>
      <c r="BT22" s="15">
        <v>5.0</v>
      </c>
      <c r="BU22" s="15">
        <v>5.0</v>
      </c>
      <c r="BV22" s="15">
        <v>5.0</v>
      </c>
      <c r="BW22" s="15">
        <v>5.0</v>
      </c>
      <c r="BX22" s="15">
        <v>5.0</v>
      </c>
      <c r="BY22" s="15">
        <v>5.0</v>
      </c>
      <c r="BZ22" s="15">
        <v>5.0</v>
      </c>
      <c r="CA22" s="15">
        <v>5.0</v>
      </c>
      <c r="CB22" s="23">
        <f t="shared" si="10"/>
        <v>60</v>
      </c>
      <c r="CC22" s="24">
        <v>30.0</v>
      </c>
      <c r="CD22" s="18">
        <v>30.0</v>
      </c>
      <c r="CE22" s="18">
        <v>30.0</v>
      </c>
      <c r="CF22" s="19">
        <v>30.0</v>
      </c>
      <c r="CG22" s="19">
        <v>30.0</v>
      </c>
      <c r="CH22" s="20">
        <v>30.0</v>
      </c>
      <c r="CI22" s="25">
        <v>30.0</v>
      </c>
      <c r="CJ22" s="25">
        <v>30.0</v>
      </c>
      <c r="CK22" s="26" t="str">
        <f t="shared" si="11"/>
        <v>Intrapersonal Intelligence</v>
      </c>
      <c r="CL22" s="26"/>
    </row>
    <row r="23" ht="22.5" customHeight="1">
      <c r="A23" s="14">
        <v>46027.8023790625</v>
      </c>
      <c r="B23" s="15" t="s">
        <v>89</v>
      </c>
      <c r="C23" s="15" t="s">
        <v>90</v>
      </c>
      <c r="D23" s="15" t="s">
        <v>91</v>
      </c>
      <c r="E23" s="15" t="s">
        <v>92</v>
      </c>
      <c r="F23" s="16"/>
      <c r="G23" s="15">
        <v>4.0</v>
      </c>
      <c r="H23" s="15">
        <v>3.0</v>
      </c>
      <c r="I23" s="15">
        <v>4.0</v>
      </c>
      <c r="J23" s="15">
        <v>4.0</v>
      </c>
      <c r="K23" s="17">
        <f t="shared" si="1"/>
        <v>15</v>
      </c>
      <c r="L23" s="15">
        <v>4.0</v>
      </c>
      <c r="M23" s="15">
        <v>4.0</v>
      </c>
      <c r="N23" s="15">
        <v>3.0</v>
      </c>
      <c r="O23" s="15">
        <v>4.0</v>
      </c>
      <c r="P23" s="15">
        <v>4.0</v>
      </c>
      <c r="Q23" s="15">
        <v>4.0</v>
      </c>
      <c r="R23" s="18">
        <f t="shared" si="2"/>
        <v>23</v>
      </c>
      <c r="S23" s="15">
        <v>4.0</v>
      </c>
      <c r="T23" s="15">
        <v>4.0</v>
      </c>
      <c r="U23" s="15">
        <v>3.0</v>
      </c>
      <c r="V23" s="15">
        <v>4.0</v>
      </c>
      <c r="W23" s="15">
        <v>4.0</v>
      </c>
      <c r="X23" s="15">
        <v>4.0</v>
      </c>
      <c r="Y23" s="18">
        <f t="shared" si="3"/>
        <v>23</v>
      </c>
      <c r="Z23" s="15">
        <v>4.0</v>
      </c>
      <c r="AA23" s="15">
        <v>4.0</v>
      </c>
      <c r="AB23" s="15">
        <v>4.0</v>
      </c>
      <c r="AC23" s="15">
        <v>3.0</v>
      </c>
      <c r="AD23" s="15">
        <v>4.0</v>
      </c>
      <c r="AE23" s="15">
        <v>4.0</v>
      </c>
      <c r="AF23" s="18">
        <f t="shared" si="4"/>
        <v>23</v>
      </c>
      <c r="AG23" s="15">
        <v>4.0</v>
      </c>
      <c r="AH23" s="15">
        <v>4.0</v>
      </c>
      <c r="AI23" s="15">
        <v>3.0</v>
      </c>
      <c r="AJ23" s="15">
        <v>4.0</v>
      </c>
      <c r="AK23" s="15">
        <v>4.0</v>
      </c>
      <c r="AL23" s="15">
        <v>4.0</v>
      </c>
      <c r="AM23" s="19">
        <f t="shared" si="5"/>
        <v>23</v>
      </c>
      <c r="AN23" s="15">
        <v>4.0</v>
      </c>
      <c r="AO23" s="15">
        <v>4.0</v>
      </c>
      <c r="AP23" s="15">
        <v>4.0</v>
      </c>
      <c r="AQ23" s="15">
        <v>4.0</v>
      </c>
      <c r="AR23" s="15">
        <v>3.0</v>
      </c>
      <c r="AS23" s="15">
        <v>4.0</v>
      </c>
      <c r="AT23" s="19">
        <f t="shared" si="6"/>
        <v>23</v>
      </c>
      <c r="AU23" s="15">
        <v>4.0</v>
      </c>
      <c r="AV23" s="15">
        <v>4.0</v>
      </c>
      <c r="AW23" s="15">
        <v>4.0</v>
      </c>
      <c r="AX23" s="15">
        <v>4.0</v>
      </c>
      <c r="AY23" s="15">
        <v>3.0</v>
      </c>
      <c r="AZ23" s="15">
        <v>4.0</v>
      </c>
      <c r="BA23" s="20">
        <f t="shared" si="7"/>
        <v>23</v>
      </c>
      <c r="BB23" s="15">
        <v>3.0</v>
      </c>
      <c r="BC23" s="15">
        <v>4.0</v>
      </c>
      <c r="BD23" s="15">
        <v>4.0</v>
      </c>
      <c r="BE23" s="15">
        <v>4.0</v>
      </c>
      <c r="BF23" s="15">
        <v>4.0</v>
      </c>
      <c r="BG23" s="15">
        <v>4.0</v>
      </c>
      <c r="BH23" s="21">
        <f t="shared" si="8"/>
        <v>23</v>
      </c>
      <c r="BI23" s="15">
        <v>4.0</v>
      </c>
      <c r="BJ23" s="15">
        <v>4.0</v>
      </c>
      <c r="BK23" s="15">
        <v>4.0</v>
      </c>
      <c r="BL23" s="15">
        <v>4.0</v>
      </c>
      <c r="BM23" s="15">
        <v>4.0</v>
      </c>
      <c r="BN23" s="15">
        <v>3.0</v>
      </c>
      <c r="BO23" s="21">
        <f t="shared" si="9"/>
        <v>23</v>
      </c>
      <c r="BP23" s="22">
        <v>4.0</v>
      </c>
      <c r="BQ23" s="15">
        <v>4.0</v>
      </c>
      <c r="BR23" s="15">
        <v>4.0</v>
      </c>
      <c r="BS23" s="15">
        <v>4.0</v>
      </c>
      <c r="BT23" s="15">
        <v>4.0</v>
      </c>
      <c r="BU23" s="15">
        <v>4.0</v>
      </c>
      <c r="BV23" s="15">
        <v>4.0</v>
      </c>
      <c r="BW23" s="15">
        <v>4.0</v>
      </c>
      <c r="BX23" s="15">
        <v>4.0</v>
      </c>
      <c r="BY23" s="15">
        <v>4.0</v>
      </c>
      <c r="BZ23" s="15">
        <v>4.0</v>
      </c>
      <c r="CA23" s="15">
        <v>4.0</v>
      </c>
      <c r="CB23" s="23">
        <f t="shared" si="10"/>
        <v>48</v>
      </c>
      <c r="CC23" s="24">
        <v>23.0</v>
      </c>
      <c r="CD23" s="18">
        <v>23.0</v>
      </c>
      <c r="CE23" s="18">
        <v>23.0</v>
      </c>
      <c r="CF23" s="19">
        <v>23.0</v>
      </c>
      <c r="CG23" s="19">
        <v>23.0</v>
      </c>
      <c r="CH23" s="20">
        <v>23.0</v>
      </c>
      <c r="CI23" s="25">
        <v>23.0</v>
      </c>
      <c r="CJ23" s="25">
        <v>23.0</v>
      </c>
      <c r="CK23" s="26" t="str">
        <f t="shared" si="11"/>
        <v>Intrapersonal Intelligence</v>
      </c>
      <c r="CL23" s="26"/>
    </row>
    <row r="24" ht="22.5" customHeight="1">
      <c r="A24" s="14">
        <v>46027.80457275463</v>
      </c>
      <c r="B24" s="15" t="s">
        <v>89</v>
      </c>
      <c r="C24" s="15" t="s">
        <v>90</v>
      </c>
      <c r="D24" s="15" t="s">
        <v>91</v>
      </c>
      <c r="E24" s="15" t="s">
        <v>97</v>
      </c>
      <c r="F24" s="16"/>
      <c r="G24" s="15">
        <v>4.0</v>
      </c>
      <c r="H24" s="15">
        <v>4.0</v>
      </c>
      <c r="I24" s="15">
        <v>4.0</v>
      </c>
      <c r="J24" s="15">
        <v>4.0</v>
      </c>
      <c r="K24" s="17">
        <f t="shared" si="1"/>
        <v>16</v>
      </c>
      <c r="L24" s="15">
        <v>4.0</v>
      </c>
      <c r="M24" s="15">
        <v>4.0</v>
      </c>
      <c r="N24" s="15">
        <v>4.0</v>
      </c>
      <c r="O24" s="15">
        <v>4.0</v>
      </c>
      <c r="P24" s="15">
        <v>4.0</v>
      </c>
      <c r="Q24" s="15">
        <v>4.0</v>
      </c>
      <c r="R24" s="18">
        <f t="shared" si="2"/>
        <v>24</v>
      </c>
      <c r="S24" s="15">
        <v>4.0</v>
      </c>
      <c r="T24" s="15">
        <v>4.0</v>
      </c>
      <c r="U24" s="15">
        <v>4.0</v>
      </c>
      <c r="V24" s="15">
        <v>4.0</v>
      </c>
      <c r="W24" s="15">
        <v>4.0</v>
      </c>
      <c r="X24" s="15">
        <v>4.0</v>
      </c>
      <c r="Y24" s="18">
        <f t="shared" si="3"/>
        <v>24</v>
      </c>
      <c r="Z24" s="15">
        <v>4.0</v>
      </c>
      <c r="AA24" s="15">
        <v>4.0</v>
      </c>
      <c r="AB24" s="15">
        <v>4.0</v>
      </c>
      <c r="AC24" s="15">
        <v>4.0</v>
      </c>
      <c r="AD24" s="15">
        <v>4.0</v>
      </c>
      <c r="AE24" s="15">
        <v>4.0</v>
      </c>
      <c r="AF24" s="18">
        <f t="shared" si="4"/>
        <v>24</v>
      </c>
      <c r="AG24" s="15">
        <v>4.0</v>
      </c>
      <c r="AH24" s="15">
        <v>4.0</v>
      </c>
      <c r="AI24" s="15">
        <v>4.0</v>
      </c>
      <c r="AJ24" s="15">
        <v>4.0</v>
      </c>
      <c r="AK24" s="15">
        <v>4.0</v>
      </c>
      <c r="AL24" s="15">
        <v>4.0</v>
      </c>
      <c r="AM24" s="19">
        <f t="shared" si="5"/>
        <v>24</v>
      </c>
      <c r="AN24" s="15">
        <v>4.0</v>
      </c>
      <c r="AO24" s="15">
        <v>4.0</v>
      </c>
      <c r="AP24" s="15">
        <v>4.0</v>
      </c>
      <c r="AQ24" s="15">
        <v>4.0</v>
      </c>
      <c r="AR24" s="15">
        <v>4.0</v>
      </c>
      <c r="AS24" s="15">
        <v>4.0</v>
      </c>
      <c r="AT24" s="19">
        <f t="shared" si="6"/>
        <v>24</v>
      </c>
      <c r="AU24" s="15">
        <v>4.0</v>
      </c>
      <c r="AV24" s="15">
        <v>4.0</v>
      </c>
      <c r="AW24" s="15">
        <v>4.0</v>
      </c>
      <c r="AX24" s="15">
        <v>4.0</v>
      </c>
      <c r="AY24" s="15">
        <v>4.0</v>
      </c>
      <c r="AZ24" s="15">
        <v>4.0</v>
      </c>
      <c r="BA24" s="20">
        <f t="shared" si="7"/>
        <v>24</v>
      </c>
      <c r="BB24" s="15">
        <v>4.0</v>
      </c>
      <c r="BC24" s="15">
        <v>4.0</v>
      </c>
      <c r="BD24" s="15">
        <v>4.0</v>
      </c>
      <c r="BE24" s="15">
        <v>4.0</v>
      </c>
      <c r="BF24" s="15">
        <v>4.0</v>
      </c>
      <c r="BG24" s="15">
        <v>4.0</v>
      </c>
      <c r="BH24" s="21">
        <f t="shared" si="8"/>
        <v>24</v>
      </c>
      <c r="BI24" s="15">
        <v>4.0</v>
      </c>
      <c r="BJ24" s="15">
        <v>4.0</v>
      </c>
      <c r="BK24" s="15">
        <v>4.0</v>
      </c>
      <c r="BL24" s="15">
        <v>4.0</v>
      </c>
      <c r="BM24" s="15">
        <v>4.0</v>
      </c>
      <c r="BN24" s="15">
        <v>4.0</v>
      </c>
      <c r="BO24" s="21">
        <f t="shared" si="9"/>
        <v>24</v>
      </c>
      <c r="BP24" s="22">
        <v>4.0</v>
      </c>
      <c r="BQ24" s="15">
        <v>4.0</v>
      </c>
      <c r="BR24" s="15">
        <v>4.0</v>
      </c>
      <c r="BS24" s="15">
        <v>4.0</v>
      </c>
      <c r="BT24" s="15">
        <v>4.0</v>
      </c>
      <c r="BU24" s="15">
        <v>4.0</v>
      </c>
      <c r="BV24" s="15">
        <v>4.0</v>
      </c>
      <c r="BW24" s="15">
        <v>4.0</v>
      </c>
      <c r="BX24" s="15">
        <v>4.0</v>
      </c>
      <c r="BY24" s="15">
        <v>4.0</v>
      </c>
      <c r="BZ24" s="15">
        <v>4.0</v>
      </c>
      <c r="CA24" s="15">
        <v>4.0</v>
      </c>
      <c r="CB24" s="23">
        <f t="shared" si="10"/>
        <v>48</v>
      </c>
      <c r="CC24" s="24">
        <v>24.0</v>
      </c>
      <c r="CD24" s="18">
        <v>24.0</v>
      </c>
      <c r="CE24" s="18">
        <v>24.0</v>
      </c>
      <c r="CF24" s="19">
        <v>24.0</v>
      </c>
      <c r="CG24" s="19">
        <v>24.0</v>
      </c>
      <c r="CH24" s="20">
        <v>24.0</v>
      </c>
      <c r="CI24" s="25">
        <v>24.0</v>
      </c>
      <c r="CJ24" s="25">
        <v>24.0</v>
      </c>
      <c r="CK24" s="26" t="str">
        <f t="shared" si="11"/>
        <v>Intrapersonal Intelligence</v>
      </c>
      <c r="CL24" s="26"/>
    </row>
    <row r="25" ht="22.5" customHeight="1">
      <c r="A25" s="14">
        <v>46027.80492083333</v>
      </c>
      <c r="B25" s="15" t="s">
        <v>89</v>
      </c>
      <c r="C25" s="15" t="s">
        <v>90</v>
      </c>
      <c r="D25" s="15" t="s">
        <v>91</v>
      </c>
      <c r="E25" s="15" t="s">
        <v>92</v>
      </c>
      <c r="F25" s="16"/>
      <c r="G25" s="15">
        <v>3.0</v>
      </c>
      <c r="H25" s="15">
        <v>4.0</v>
      </c>
      <c r="I25" s="15">
        <v>3.0</v>
      </c>
      <c r="J25" s="15">
        <v>3.0</v>
      </c>
      <c r="K25" s="17">
        <f t="shared" si="1"/>
        <v>13</v>
      </c>
      <c r="L25" s="15">
        <v>5.0</v>
      </c>
      <c r="M25" s="15">
        <v>4.0</v>
      </c>
      <c r="N25" s="15">
        <v>4.0</v>
      </c>
      <c r="O25" s="15">
        <v>3.0</v>
      </c>
      <c r="P25" s="15">
        <v>4.0</v>
      </c>
      <c r="Q25" s="15">
        <v>5.0</v>
      </c>
      <c r="R25" s="18">
        <f t="shared" si="2"/>
        <v>25</v>
      </c>
      <c r="S25" s="15">
        <v>5.0</v>
      </c>
      <c r="T25" s="15">
        <v>4.0</v>
      </c>
      <c r="U25" s="15">
        <v>4.0</v>
      </c>
      <c r="V25" s="15">
        <v>4.0</v>
      </c>
      <c r="W25" s="15">
        <v>3.0</v>
      </c>
      <c r="X25" s="15">
        <v>3.0</v>
      </c>
      <c r="Y25" s="18">
        <f t="shared" si="3"/>
        <v>23</v>
      </c>
      <c r="Z25" s="15">
        <v>2.0</v>
      </c>
      <c r="AA25" s="15">
        <v>3.0</v>
      </c>
      <c r="AB25" s="15">
        <v>3.0</v>
      </c>
      <c r="AC25" s="15">
        <v>3.0</v>
      </c>
      <c r="AD25" s="15">
        <v>3.0</v>
      </c>
      <c r="AE25" s="15">
        <v>3.0</v>
      </c>
      <c r="AF25" s="18">
        <f t="shared" si="4"/>
        <v>17</v>
      </c>
      <c r="AG25" s="15">
        <v>3.0</v>
      </c>
      <c r="AH25" s="15">
        <v>3.0</v>
      </c>
      <c r="AI25" s="15">
        <v>3.0</v>
      </c>
      <c r="AJ25" s="15">
        <v>3.0</v>
      </c>
      <c r="AK25" s="15">
        <v>3.0</v>
      </c>
      <c r="AL25" s="15">
        <v>3.0</v>
      </c>
      <c r="AM25" s="19">
        <f t="shared" si="5"/>
        <v>18</v>
      </c>
      <c r="AN25" s="15">
        <v>3.0</v>
      </c>
      <c r="AO25" s="15">
        <v>3.0</v>
      </c>
      <c r="AP25" s="15">
        <v>3.0</v>
      </c>
      <c r="AQ25" s="15">
        <v>3.0</v>
      </c>
      <c r="AR25" s="15">
        <v>3.0</v>
      </c>
      <c r="AS25" s="15">
        <v>3.0</v>
      </c>
      <c r="AT25" s="19">
        <f t="shared" si="6"/>
        <v>18</v>
      </c>
      <c r="AU25" s="15">
        <v>3.0</v>
      </c>
      <c r="AV25" s="15">
        <v>3.0</v>
      </c>
      <c r="AW25" s="15">
        <v>3.0</v>
      </c>
      <c r="AX25" s="15">
        <v>4.0</v>
      </c>
      <c r="AY25" s="15">
        <v>4.0</v>
      </c>
      <c r="AZ25" s="15">
        <v>4.0</v>
      </c>
      <c r="BA25" s="20">
        <f t="shared" si="7"/>
        <v>21</v>
      </c>
      <c r="BB25" s="15">
        <v>4.0</v>
      </c>
      <c r="BC25" s="15">
        <v>4.0</v>
      </c>
      <c r="BD25" s="15">
        <v>4.0</v>
      </c>
      <c r="BE25" s="15">
        <v>4.0</v>
      </c>
      <c r="BF25" s="15">
        <v>4.0</v>
      </c>
      <c r="BG25" s="15">
        <v>4.0</v>
      </c>
      <c r="BH25" s="21">
        <f t="shared" si="8"/>
        <v>24</v>
      </c>
      <c r="BI25" s="15">
        <v>4.0</v>
      </c>
      <c r="BJ25" s="15">
        <v>4.0</v>
      </c>
      <c r="BK25" s="15">
        <v>4.0</v>
      </c>
      <c r="BL25" s="15">
        <v>3.0</v>
      </c>
      <c r="BM25" s="15">
        <v>3.0</v>
      </c>
      <c r="BN25" s="15">
        <v>3.0</v>
      </c>
      <c r="BO25" s="21">
        <f t="shared" si="9"/>
        <v>21</v>
      </c>
      <c r="BP25" s="22">
        <v>3.0</v>
      </c>
      <c r="BQ25" s="15">
        <v>3.0</v>
      </c>
      <c r="BR25" s="15">
        <v>3.0</v>
      </c>
      <c r="BS25" s="15">
        <v>4.0</v>
      </c>
      <c r="BT25" s="15">
        <v>4.0</v>
      </c>
      <c r="BU25" s="15">
        <v>4.0</v>
      </c>
      <c r="BV25" s="15">
        <v>4.0</v>
      </c>
      <c r="BW25" s="15">
        <v>4.0</v>
      </c>
      <c r="BX25" s="15">
        <v>4.0</v>
      </c>
      <c r="BY25" s="15">
        <v>4.0</v>
      </c>
      <c r="BZ25" s="15">
        <v>3.0</v>
      </c>
      <c r="CA25" s="15">
        <v>3.0</v>
      </c>
      <c r="CB25" s="23">
        <f t="shared" si="10"/>
        <v>43</v>
      </c>
      <c r="CC25" s="24">
        <v>25.0</v>
      </c>
      <c r="CD25" s="18">
        <v>23.0</v>
      </c>
      <c r="CE25" s="18">
        <v>17.0</v>
      </c>
      <c r="CF25" s="19">
        <v>18.0</v>
      </c>
      <c r="CG25" s="19">
        <v>18.0</v>
      </c>
      <c r="CH25" s="20">
        <v>21.0</v>
      </c>
      <c r="CI25" s="25">
        <v>24.0</v>
      </c>
      <c r="CJ25" s="25">
        <v>21.0</v>
      </c>
      <c r="CK25" s="26" t="str">
        <f t="shared" si="11"/>
        <v>Intrapersonal Intelligence</v>
      </c>
      <c r="CL25" s="26"/>
    </row>
    <row r="26" ht="22.5" customHeight="1">
      <c r="A26" s="14">
        <v>46027.80669679398</v>
      </c>
      <c r="B26" s="15" t="s">
        <v>89</v>
      </c>
      <c r="C26" s="15" t="s">
        <v>90</v>
      </c>
      <c r="D26" s="15" t="s">
        <v>91</v>
      </c>
      <c r="E26" s="15" t="s">
        <v>92</v>
      </c>
      <c r="F26" s="16"/>
      <c r="G26" s="15">
        <v>3.0</v>
      </c>
      <c r="H26" s="15">
        <v>3.0</v>
      </c>
      <c r="I26" s="15">
        <v>4.0</v>
      </c>
      <c r="J26" s="15">
        <v>3.0</v>
      </c>
      <c r="K26" s="17">
        <f t="shared" si="1"/>
        <v>13</v>
      </c>
      <c r="L26" s="15">
        <v>5.0</v>
      </c>
      <c r="M26" s="15">
        <v>4.0</v>
      </c>
      <c r="N26" s="15">
        <v>4.0</v>
      </c>
      <c r="O26" s="15">
        <v>4.0</v>
      </c>
      <c r="P26" s="15">
        <v>4.0</v>
      </c>
      <c r="Q26" s="15">
        <v>4.0</v>
      </c>
      <c r="R26" s="18">
        <f t="shared" si="2"/>
        <v>25</v>
      </c>
      <c r="S26" s="15">
        <v>5.0</v>
      </c>
      <c r="T26" s="15">
        <v>4.0</v>
      </c>
      <c r="U26" s="15">
        <v>4.0</v>
      </c>
      <c r="V26" s="15">
        <v>4.0</v>
      </c>
      <c r="W26" s="15">
        <v>4.0</v>
      </c>
      <c r="X26" s="15">
        <v>4.0</v>
      </c>
      <c r="Y26" s="18">
        <f t="shared" si="3"/>
        <v>25</v>
      </c>
      <c r="Z26" s="15">
        <v>3.0</v>
      </c>
      <c r="AA26" s="15">
        <v>3.0</v>
      </c>
      <c r="AB26" s="15">
        <v>3.0</v>
      </c>
      <c r="AC26" s="15">
        <v>3.0</v>
      </c>
      <c r="AD26" s="15">
        <v>4.0</v>
      </c>
      <c r="AE26" s="15">
        <v>4.0</v>
      </c>
      <c r="AF26" s="18">
        <f t="shared" si="4"/>
        <v>20</v>
      </c>
      <c r="AG26" s="15">
        <v>3.0</v>
      </c>
      <c r="AH26" s="15">
        <v>4.0</v>
      </c>
      <c r="AI26" s="15">
        <v>4.0</v>
      </c>
      <c r="AJ26" s="15">
        <v>3.0</v>
      </c>
      <c r="AK26" s="15">
        <v>3.0</v>
      </c>
      <c r="AL26" s="15">
        <v>4.0</v>
      </c>
      <c r="AM26" s="19">
        <f t="shared" si="5"/>
        <v>21</v>
      </c>
      <c r="AN26" s="15">
        <v>4.0</v>
      </c>
      <c r="AO26" s="15">
        <v>4.0</v>
      </c>
      <c r="AP26" s="15">
        <v>3.0</v>
      </c>
      <c r="AQ26" s="15">
        <v>3.0</v>
      </c>
      <c r="AR26" s="15">
        <v>3.0</v>
      </c>
      <c r="AS26" s="15">
        <v>3.0</v>
      </c>
      <c r="AT26" s="19">
        <f t="shared" si="6"/>
        <v>20</v>
      </c>
      <c r="AU26" s="15">
        <v>4.0</v>
      </c>
      <c r="AV26" s="15">
        <v>3.0</v>
      </c>
      <c r="AW26" s="15">
        <v>4.0</v>
      </c>
      <c r="AX26" s="15">
        <v>4.0</v>
      </c>
      <c r="AY26" s="15">
        <v>4.0</v>
      </c>
      <c r="AZ26" s="15">
        <v>4.0</v>
      </c>
      <c r="BA26" s="20">
        <f t="shared" si="7"/>
        <v>23</v>
      </c>
      <c r="BB26" s="15">
        <v>3.0</v>
      </c>
      <c r="BC26" s="15">
        <v>3.0</v>
      </c>
      <c r="BD26" s="15">
        <v>3.0</v>
      </c>
      <c r="BE26" s="15">
        <v>3.0</v>
      </c>
      <c r="BF26" s="15">
        <v>3.0</v>
      </c>
      <c r="BG26" s="15">
        <v>2.0</v>
      </c>
      <c r="BH26" s="21">
        <f t="shared" si="8"/>
        <v>17</v>
      </c>
      <c r="BI26" s="15">
        <v>3.0</v>
      </c>
      <c r="BJ26" s="15">
        <v>3.0</v>
      </c>
      <c r="BK26" s="15">
        <v>3.0</v>
      </c>
      <c r="BL26" s="15">
        <v>4.0</v>
      </c>
      <c r="BM26" s="15">
        <v>4.0</v>
      </c>
      <c r="BN26" s="15">
        <v>3.0</v>
      </c>
      <c r="BO26" s="21">
        <f t="shared" si="9"/>
        <v>20</v>
      </c>
      <c r="BP26" s="22">
        <v>4.0</v>
      </c>
      <c r="BQ26" s="15">
        <v>4.0</v>
      </c>
      <c r="BR26" s="15">
        <v>4.0</v>
      </c>
      <c r="BS26" s="15">
        <v>3.0</v>
      </c>
      <c r="BT26" s="15">
        <v>4.0</v>
      </c>
      <c r="BU26" s="15">
        <v>4.0</v>
      </c>
      <c r="BV26" s="15">
        <v>4.0</v>
      </c>
      <c r="BW26" s="15">
        <v>4.0</v>
      </c>
      <c r="BX26" s="15">
        <v>4.0</v>
      </c>
      <c r="BY26" s="15">
        <v>4.0</v>
      </c>
      <c r="BZ26" s="15">
        <v>4.0</v>
      </c>
      <c r="CA26" s="15">
        <v>4.0</v>
      </c>
      <c r="CB26" s="23">
        <f t="shared" si="10"/>
        <v>47</v>
      </c>
      <c r="CC26" s="24">
        <v>25.0</v>
      </c>
      <c r="CD26" s="18">
        <v>25.0</v>
      </c>
      <c r="CE26" s="18">
        <v>20.0</v>
      </c>
      <c r="CF26" s="19">
        <v>21.0</v>
      </c>
      <c r="CG26" s="19">
        <v>20.0</v>
      </c>
      <c r="CH26" s="20">
        <v>23.0</v>
      </c>
      <c r="CI26" s="25">
        <v>17.0</v>
      </c>
      <c r="CJ26" s="25">
        <v>20.0</v>
      </c>
      <c r="CK26" s="26" t="str">
        <f t="shared" si="11"/>
        <v>Intrapersonal Intelligence</v>
      </c>
      <c r="CL26" s="26"/>
    </row>
    <row r="27" ht="22.5" customHeight="1">
      <c r="A27" s="14">
        <v>46027.80893542824</v>
      </c>
      <c r="B27" s="15" t="s">
        <v>89</v>
      </c>
      <c r="C27" s="15" t="s">
        <v>90</v>
      </c>
      <c r="D27" s="15" t="s">
        <v>91</v>
      </c>
      <c r="E27" s="15" t="s">
        <v>97</v>
      </c>
      <c r="F27" s="16" t="s">
        <v>105</v>
      </c>
      <c r="G27" s="15">
        <v>5.0</v>
      </c>
      <c r="H27" s="15">
        <v>5.0</v>
      </c>
      <c r="I27" s="15">
        <v>5.0</v>
      </c>
      <c r="J27" s="15">
        <v>5.0</v>
      </c>
      <c r="K27" s="17">
        <f t="shared" si="1"/>
        <v>20</v>
      </c>
      <c r="L27" s="15">
        <v>2.0</v>
      </c>
      <c r="M27" s="15">
        <v>3.0</v>
      </c>
      <c r="N27" s="15">
        <v>3.0</v>
      </c>
      <c r="O27" s="15">
        <v>1.0</v>
      </c>
      <c r="P27" s="15">
        <v>5.0</v>
      </c>
      <c r="Q27" s="15">
        <v>2.0</v>
      </c>
      <c r="R27" s="18">
        <f t="shared" si="2"/>
        <v>16</v>
      </c>
      <c r="S27" s="15">
        <v>5.0</v>
      </c>
      <c r="T27" s="15">
        <v>3.0</v>
      </c>
      <c r="U27" s="15">
        <v>1.0</v>
      </c>
      <c r="V27" s="15">
        <v>2.0</v>
      </c>
      <c r="W27" s="15">
        <v>1.0</v>
      </c>
      <c r="X27" s="15">
        <v>5.0</v>
      </c>
      <c r="Y27" s="18">
        <f t="shared" si="3"/>
        <v>17</v>
      </c>
      <c r="Z27" s="15">
        <v>1.0</v>
      </c>
      <c r="AA27" s="15">
        <v>1.0</v>
      </c>
      <c r="AB27" s="15">
        <v>1.0</v>
      </c>
      <c r="AC27" s="15">
        <v>5.0</v>
      </c>
      <c r="AD27" s="15">
        <v>5.0</v>
      </c>
      <c r="AE27" s="15">
        <v>5.0</v>
      </c>
      <c r="AF27" s="18">
        <f t="shared" si="4"/>
        <v>18</v>
      </c>
      <c r="AG27" s="15">
        <v>2.0</v>
      </c>
      <c r="AH27" s="15">
        <v>1.0</v>
      </c>
      <c r="AI27" s="15">
        <v>5.0</v>
      </c>
      <c r="AJ27" s="15">
        <v>1.0</v>
      </c>
      <c r="AK27" s="15">
        <v>5.0</v>
      </c>
      <c r="AL27" s="15">
        <v>5.0</v>
      </c>
      <c r="AM27" s="19">
        <f t="shared" si="5"/>
        <v>19</v>
      </c>
      <c r="AN27" s="15">
        <v>3.0</v>
      </c>
      <c r="AO27" s="15">
        <v>3.0</v>
      </c>
      <c r="AP27" s="15">
        <v>3.0</v>
      </c>
      <c r="AQ27" s="15">
        <v>3.0</v>
      </c>
      <c r="AR27" s="15">
        <v>5.0</v>
      </c>
      <c r="AS27" s="15">
        <v>4.0</v>
      </c>
      <c r="AT27" s="19">
        <f t="shared" si="6"/>
        <v>21</v>
      </c>
      <c r="AU27" s="15">
        <v>5.0</v>
      </c>
      <c r="AV27" s="15">
        <v>5.0</v>
      </c>
      <c r="AW27" s="15">
        <v>3.0</v>
      </c>
      <c r="AX27" s="15">
        <v>5.0</v>
      </c>
      <c r="AY27" s="15">
        <v>5.0</v>
      </c>
      <c r="AZ27" s="15">
        <v>5.0</v>
      </c>
      <c r="BA27" s="20">
        <f t="shared" si="7"/>
        <v>28</v>
      </c>
      <c r="BB27" s="15">
        <v>3.0</v>
      </c>
      <c r="BC27" s="15">
        <v>3.0</v>
      </c>
      <c r="BD27" s="15">
        <v>2.0</v>
      </c>
      <c r="BE27" s="15">
        <v>3.0</v>
      </c>
      <c r="BF27" s="15">
        <v>2.0</v>
      </c>
      <c r="BG27" s="15">
        <v>1.0</v>
      </c>
      <c r="BH27" s="21">
        <f t="shared" si="8"/>
        <v>14</v>
      </c>
      <c r="BI27" s="15">
        <v>4.0</v>
      </c>
      <c r="BJ27" s="15">
        <v>5.0</v>
      </c>
      <c r="BK27" s="15">
        <v>5.0</v>
      </c>
      <c r="BL27" s="15">
        <v>5.0</v>
      </c>
      <c r="BM27" s="15">
        <v>5.0</v>
      </c>
      <c r="BN27" s="15">
        <v>5.0</v>
      </c>
      <c r="BO27" s="21">
        <f t="shared" si="9"/>
        <v>29</v>
      </c>
      <c r="BP27" s="22">
        <v>3.0</v>
      </c>
      <c r="BQ27" s="15">
        <v>2.0</v>
      </c>
      <c r="BR27" s="15">
        <v>4.0</v>
      </c>
      <c r="BS27" s="15">
        <v>3.0</v>
      </c>
      <c r="BT27" s="15">
        <v>2.0</v>
      </c>
      <c r="BU27" s="15">
        <v>2.0</v>
      </c>
      <c r="BV27" s="15">
        <v>5.0</v>
      </c>
      <c r="BW27" s="15">
        <v>3.0</v>
      </c>
      <c r="BX27" s="15">
        <v>3.0</v>
      </c>
      <c r="BY27" s="15">
        <v>4.0</v>
      </c>
      <c r="BZ27" s="15">
        <v>1.0</v>
      </c>
      <c r="CA27" s="15">
        <v>2.0</v>
      </c>
      <c r="CB27" s="23">
        <f t="shared" si="10"/>
        <v>34</v>
      </c>
      <c r="CC27" s="24">
        <v>16.0</v>
      </c>
      <c r="CD27" s="18">
        <v>17.0</v>
      </c>
      <c r="CE27" s="18">
        <v>18.0</v>
      </c>
      <c r="CF27" s="19">
        <v>19.0</v>
      </c>
      <c r="CG27" s="19">
        <v>21.0</v>
      </c>
      <c r="CH27" s="20">
        <v>28.0</v>
      </c>
      <c r="CI27" s="25">
        <v>14.0</v>
      </c>
      <c r="CJ27" s="25">
        <v>29.0</v>
      </c>
      <c r="CK27" s="26" t="str">
        <f t="shared" si="11"/>
        <v>Musical Intelligence</v>
      </c>
      <c r="CL27" s="26"/>
    </row>
    <row r="28" ht="22.5" customHeight="1">
      <c r="A28" s="14">
        <v>46027.810744884264</v>
      </c>
      <c r="B28" s="15" t="s">
        <v>89</v>
      </c>
      <c r="C28" s="15" t="s">
        <v>90</v>
      </c>
      <c r="D28" s="15" t="s">
        <v>91</v>
      </c>
      <c r="E28" s="15" t="s">
        <v>92</v>
      </c>
      <c r="F28" s="16"/>
      <c r="G28" s="15">
        <v>3.0</v>
      </c>
      <c r="H28" s="15">
        <v>4.0</v>
      </c>
      <c r="I28" s="15">
        <v>3.0</v>
      </c>
      <c r="J28" s="15">
        <v>3.0</v>
      </c>
      <c r="K28" s="17">
        <f t="shared" si="1"/>
        <v>13</v>
      </c>
      <c r="L28" s="15">
        <v>3.0</v>
      </c>
      <c r="M28" s="15">
        <v>2.0</v>
      </c>
      <c r="N28" s="15">
        <v>4.0</v>
      </c>
      <c r="O28" s="15">
        <v>3.0</v>
      </c>
      <c r="P28" s="15">
        <v>3.0</v>
      </c>
      <c r="Q28" s="15">
        <v>3.0</v>
      </c>
      <c r="R28" s="18">
        <f t="shared" si="2"/>
        <v>18</v>
      </c>
      <c r="S28" s="15">
        <v>3.0</v>
      </c>
      <c r="T28" s="15">
        <v>3.0</v>
      </c>
      <c r="U28" s="15">
        <v>4.0</v>
      </c>
      <c r="V28" s="15">
        <v>3.0</v>
      </c>
      <c r="W28" s="15">
        <v>3.0</v>
      </c>
      <c r="X28" s="15">
        <v>3.0</v>
      </c>
      <c r="Y28" s="18">
        <f t="shared" si="3"/>
        <v>19</v>
      </c>
      <c r="Z28" s="15">
        <v>4.0</v>
      </c>
      <c r="AA28" s="15">
        <v>3.0</v>
      </c>
      <c r="AB28" s="15">
        <v>3.0</v>
      </c>
      <c r="AC28" s="15">
        <v>3.0</v>
      </c>
      <c r="AD28" s="15">
        <v>3.0</v>
      </c>
      <c r="AE28" s="15">
        <v>3.0</v>
      </c>
      <c r="AF28" s="18">
        <f t="shared" si="4"/>
        <v>19</v>
      </c>
      <c r="AG28" s="15">
        <v>4.0</v>
      </c>
      <c r="AH28" s="15">
        <v>3.0</v>
      </c>
      <c r="AI28" s="15">
        <v>3.0</v>
      </c>
      <c r="AJ28" s="15">
        <v>3.0</v>
      </c>
      <c r="AK28" s="15">
        <v>3.0</v>
      </c>
      <c r="AL28" s="15">
        <v>3.0</v>
      </c>
      <c r="AM28" s="19">
        <f t="shared" si="5"/>
        <v>19</v>
      </c>
      <c r="AN28" s="15">
        <v>3.0</v>
      </c>
      <c r="AO28" s="15">
        <v>3.0</v>
      </c>
      <c r="AP28" s="15">
        <v>3.0</v>
      </c>
      <c r="AQ28" s="15">
        <v>4.0</v>
      </c>
      <c r="AR28" s="15">
        <v>3.0</v>
      </c>
      <c r="AS28" s="15">
        <v>4.0</v>
      </c>
      <c r="AT28" s="19">
        <f t="shared" si="6"/>
        <v>20</v>
      </c>
      <c r="AU28" s="15">
        <v>4.0</v>
      </c>
      <c r="AV28" s="15">
        <v>3.0</v>
      </c>
      <c r="AW28" s="15">
        <v>3.0</v>
      </c>
      <c r="AX28" s="15">
        <v>3.0</v>
      </c>
      <c r="AY28" s="15">
        <v>3.0</v>
      </c>
      <c r="AZ28" s="15">
        <v>3.0</v>
      </c>
      <c r="BA28" s="20">
        <f t="shared" si="7"/>
        <v>19</v>
      </c>
      <c r="BB28" s="15">
        <v>3.0</v>
      </c>
      <c r="BC28" s="15">
        <v>4.0</v>
      </c>
      <c r="BD28" s="15">
        <v>3.0</v>
      </c>
      <c r="BE28" s="15">
        <v>3.0</v>
      </c>
      <c r="BF28" s="15">
        <v>4.0</v>
      </c>
      <c r="BG28" s="15">
        <v>3.0</v>
      </c>
      <c r="BH28" s="21">
        <f t="shared" si="8"/>
        <v>20</v>
      </c>
      <c r="BI28" s="15">
        <v>3.0</v>
      </c>
      <c r="BJ28" s="15">
        <v>4.0</v>
      </c>
      <c r="BK28" s="15">
        <v>3.0</v>
      </c>
      <c r="BL28" s="15">
        <v>4.0</v>
      </c>
      <c r="BM28" s="15">
        <v>3.0</v>
      </c>
      <c r="BN28" s="15">
        <v>3.0</v>
      </c>
      <c r="BO28" s="21">
        <f t="shared" si="9"/>
        <v>20</v>
      </c>
      <c r="BP28" s="22">
        <v>4.0</v>
      </c>
      <c r="BQ28" s="15">
        <v>3.0</v>
      </c>
      <c r="BR28" s="15">
        <v>4.0</v>
      </c>
      <c r="BS28" s="15">
        <v>3.0</v>
      </c>
      <c r="BT28" s="15">
        <v>4.0</v>
      </c>
      <c r="BU28" s="15">
        <v>3.0</v>
      </c>
      <c r="BV28" s="15">
        <v>4.0</v>
      </c>
      <c r="BW28" s="15">
        <v>3.0</v>
      </c>
      <c r="BX28" s="15">
        <v>3.0</v>
      </c>
      <c r="BY28" s="15">
        <v>3.0</v>
      </c>
      <c r="BZ28" s="15">
        <v>4.0</v>
      </c>
      <c r="CA28" s="15">
        <v>3.0</v>
      </c>
      <c r="CB28" s="23">
        <f t="shared" si="10"/>
        <v>41</v>
      </c>
      <c r="CC28" s="24">
        <v>18.0</v>
      </c>
      <c r="CD28" s="18">
        <v>19.0</v>
      </c>
      <c r="CE28" s="18">
        <v>19.0</v>
      </c>
      <c r="CF28" s="19">
        <v>19.0</v>
      </c>
      <c r="CG28" s="19">
        <v>20.0</v>
      </c>
      <c r="CH28" s="20">
        <v>19.0</v>
      </c>
      <c r="CI28" s="25">
        <v>20.0</v>
      </c>
      <c r="CJ28" s="25">
        <v>20.0</v>
      </c>
      <c r="CK28" s="26" t="str">
        <f t="shared" si="11"/>
        <v>Linguistic Intelligence</v>
      </c>
      <c r="CL28" s="26"/>
    </row>
    <row r="29" ht="22.5" customHeight="1">
      <c r="A29" s="14">
        <v>46027.8117197338</v>
      </c>
      <c r="B29" s="15" t="s">
        <v>89</v>
      </c>
      <c r="C29" s="15" t="s">
        <v>90</v>
      </c>
      <c r="D29" s="15" t="s">
        <v>91</v>
      </c>
      <c r="E29" s="15" t="s">
        <v>92</v>
      </c>
      <c r="F29" s="16"/>
      <c r="G29" s="15">
        <v>5.0</v>
      </c>
      <c r="H29" s="15">
        <v>5.0</v>
      </c>
      <c r="I29" s="15">
        <v>5.0</v>
      </c>
      <c r="J29" s="15">
        <v>5.0</v>
      </c>
      <c r="K29" s="17">
        <f t="shared" si="1"/>
        <v>20</v>
      </c>
      <c r="L29" s="15">
        <v>5.0</v>
      </c>
      <c r="M29" s="15">
        <v>5.0</v>
      </c>
      <c r="N29" s="15">
        <v>5.0</v>
      </c>
      <c r="O29" s="15">
        <v>5.0</v>
      </c>
      <c r="P29" s="15">
        <v>5.0</v>
      </c>
      <c r="Q29" s="15">
        <v>5.0</v>
      </c>
      <c r="R29" s="18">
        <f t="shared" si="2"/>
        <v>30</v>
      </c>
      <c r="S29" s="15">
        <v>5.0</v>
      </c>
      <c r="T29" s="15">
        <v>5.0</v>
      </c>
      <c r="U29" s="15">
        <v>5.0</v>
      </c>
      <c r="V29" s="15">
        <v>5.0</v>
      </c>
      <c r="W29" s="15">
        <v>5.0</v>
      </c>
      <c r="X29" s="15">
        <v>5.0</v>
      </c>
      <c r="Y29" s="18">
        <f t="shared" si="3"/>
        <v>30</v>
      </c>
      <c r="Z29" s="15">
        <v>5.0</v>
      </c>
      <c r="AA29" s="15">
        <v>5.0</v>
      </c>
      <c r="AB29" s="15">
        <v>5.0</v>
      </c>
      <c r="AC29" s="15">
        <v>5.0</v>
      </c>
      <c r="AD29" s="15">
        <v>5.0</v>
      </c>
      <c r="AE29" s="15">
        <v>5.0</v>
      </c>
      <c r="AF29" s="18">
        <f t="shared" si="4"/>
        <v>30</v>
      </c>
      <c r="AG29" s="15">
        <v>5.0</v>
      </c>
      <c r="AH29" s="15">
        <v>5.0</v>
      </c>
      <c r="AI29" s="15">
        <v>5.0</v>
      </c>
      <c r="AJ29" s="15">
        <v>5.0</v>
      </c>
      <c r="AK29" s="15">
        <v>5.0</v>
      </c>
      <c r="AL29" s="15">
        <v>5.0</v>
      </c>
      <c r="AM29" s="19">
        <f t="shared" si="5"/>
        <v>30</v>
      </c>
      <c r="AN29" s="15">
        <v>5.0</v>
      </c>
      <c r="AO29" s="15">
        <v>5.0</v>
      </c>
      <c r="AP29" s="15">
        <v>5.0</v>
      </c>
      <c r="AQ29" s="15">
        <v>5.0</v>
      </c>
      <c r="AR29" s="15">
        <v>5.0</v>
      </c>
      <c r="AS29" s="15">
        <v>5.0</v>
      </c>
      <c r="AT29" s="19">
        <f t="shared" si="6"/>
        <v>30</v>
      </c>
      <c r="AU29" s="15">
        <v>5.0</v>
      </c>
      <c r="AV29" s="15">
        <v>5.0</v>
      </c>
      <c r="AW29" s="15">
        <v>5.0</v>
      </c>
      <c r="AX29" s="15">
        <v>5.0</v>
      </c>
      <c r="AY29" s="15">
        <v>5.0</v>
      </c>
      <c r="AZ29" s="15">
        <v>5.0</v>
      </c>
      <c r="BA29" s="20">
        <f t="shared" si="7"/>
        <v>30</v>
      </c>
      <c r="BB29" s="15">
        <v>5.0</v>
      </c>
      <c r="BC29" s="15">
        <v>5.0</v>
      </c>
      <c r="BD29" s="15">
        <v>5.0</v>
      </c>
      <c r="BE29" s="15">
        <v>5.0</v>
      </c>
      <c r="BF29" s="15">
        <v>5.0</v>
      </c>
      <c r="BG29" s="15">
        <v>5.0</v>
      </c>
      <c r="BH29" s="21">
        <f t="shared" si="8"/>
        <v>30</v>
      </c>
      <c r="BI29" s="15">
        <v>5.0</v>
      </c>
      <c r="BJ29" s="15">
        <v>5.0</v>
      </c>
      <c r="BK29" s="15">
        <v>5.0</v>
      </c>
      <c r="BL29" s="15">
        <v>5.0</v>
      </c>
      <c r="BM29" s="15">
        <v>5.0</v>
      </c>
      <c r="BN29" s="15">
        <v>5.0</v>
      </c>
      <c r="BO29" s="21">
        <f t="shared" si="9"/>
        <v>30</v>
      </c>
      <c r="BP29" s="22">
        <v>3.0</v>
      </c>
      <c r="BQ29" s="15">
        <v>3.0</v>
      </c>
      <c r="BR29" s="15">
        <v>3.0</v>
      </c>
      <c r="BS29" s="15">
        <v>3.0</v>
      </c>
      <c r="BT29" s="15">
        <v>3.0</v>
      </c>
      <c r="BU29" s="15">
        <v>3.0</v>
      </c>
      <c r="BV29" s="15">
        <v>3.0</v>
      </c>
      <c r="BW29" s="15">
        <v>3.0</v>
      </c>
      <c r="BX29" s="15">
        <v>3.0</v>
      </c>
      <c r="BY29" s="15">
        <v>3.0</v>
      </c>
      <c r="BZ29" s="15">
        <v>3.0</v>
      </c>
      <c r="CA29" s="15">
        <v>3.0</v>
      </c>
      <c r="CB29" s="23">
        <f t="shared" si="10"/>
        <v>36</v>
      </c>
      <c r="CC29" s="24">
        <v>30.0</v>
      </c>
      <c r="CD29" s="18">
        <v>30.0</v>
      </c>
      <c r="CE29" s="18">
        <v>30.0</v>
      </c>
      <c r="CF29" s="19">
        <v>30.0</v>
      </c>
      <c r="CG29" s="19">
        <v>30.0</v>
      </c>
      <c r="CH29" s="20">
        <v>30.0</v>
      </c>
      <c r="CI29" s="25">
        <v>30.0</v>
      </c>
      <c r="CJ29" s="25">
        <v>30.0</v>
      </c>
      <c r="CK29" s="26" t="str">
        <f t="shared" si="11"/>
        <v>Intrapersonal Intelligence</v>
      </c>
      <c r="CL29" s="26"/>
    </row>
    <row r="30" ht="22.5" customHeight="1">
      <c r="A30" s="14">
        <v>46027.813051840276</v>
      </c>
      <c r="B30" s="15" t="s">
        <v>89</v>
      </c>
      <c r="C30" s="15" t="s">
        <v>90</v>
      </c>
      <c r="D30" s="15" t="s">
        <v>91</v>
      </c>
      <c r="E30" s="15" t="s">
        <v>92</v>
      </c>
      <c r="F30" s="16" t="s">
        <v>106</v>
      </c>
      <c r="G30" s="15">
        <v>5.0</v>
      </c>
      <c r="H30" s="15">
        <v>4.0</v>
      </c>
      <c r="I30" s="15">
        <v>4.0</v>
      </c>
      <c r="J30" s="15">
        <v>5.0</v>
      </c>
      <c r="K30" s="17">
        <f t="shared" si="1"/>
        <v>18</v>
      </c>
      <c r="L30" s="15">
        <v>4.0</v>
      </c>
      <c r="M30" s="15">
        <v>4.0</v>
      </c>
      <c r="N30" s="15">
        <v>5.0</v>
      </c>
      <c r="O30" s="15">
        <v>4.0</v>
      </c>
      <c r="P30" s="15">
        <v>5.0</v>
      </c>
      <c r="Q30" s="15">
        <v>5.0</v>
      </c>
      <c r="R30" s="18">
        <f t="shared" si="2"/>
        <v>27</v>
      </c>
      <c r="S30" s="15">
        <v>4.0</v>
      </c>
      <c r="T30" s="15">
        <v>5.0</v>
      </c>
      <c r="U30" s="15">
        <v>5.0</v>
      </c>
      <c r="V30" s="15">
        <v>4.0</v>
      </c>
      <c r="W30" s="15">
        <v>5.0</v>
      </c>
      <c r="X30" s="15">
        <v>4.0</v>
      </c>
      <c r="Y30" s="18">
        <f t="shared" si="3"/>
        <v>27</v>
      </c>
      <c r="Z30" s="15">
        <v>5.0</v>
      </c>
      <c r="AA30" s="15">
        <v>4.0</v>
      </c>
      <c r="AB30" s="15">
        <v>5.0</v>
      </c>
      <c r="AC30" s="15">
        <v>5.0</v>
      </c>
      <c r="AD30" s="15">
        <v>4.0</v>
      </c>
      <c r="AE30" s="15">
        <v>4.0</v>
      </c>
      <c r="AF30" s="18">
        <f t="shared" si="4"/>
        <v>27</v>
      </c>
      <c r="AG30" s="15">
        <v>4.0</v>
      </c>
      <c r="AH30" s="15">
        <v>4.0</v>
      </c>
      <c r="AI30" s="15">
        <v>5.0</v>
      </c>
      <c r="AJ30" s="15">
        <v>5.0</v>
      </c>
      <c r="AK30" s="15">
        <v>4.0</v>
      </c>
      <c r="AL30" s="15">
        <v>5.0</v>
      </c>
      <c r="AM30" s="19">
        <f t="shared" si="5"/>
        <v>27</v>
      </c>
      <c r="AN30" s="15">
        <v>5.0</v>
      </c>
      <c r="AO30" s="15">
        <v>4.0</v>
      </c>
      <c r="AP30" s="15">
        <v>4.0</v>
      </c>
      <c r="AQ30" s="15">
        <v>5.0</v>
      </c>
      <c r="AR30" s="15">
        <v>5.0</v>
      </c>
      <c r="AS30" s="15">
        <v>5.0</v>
      </c>
      <c r="AT30" s="19">
        <f t="shared" si="6"/>
        <v>28</v>
      </c>
      <c r="AU30" s="15">
        <v>4.0</v>
      </c>
      <c r="AV30" s="15">
        <v>4.0</v>
      </c>
      <c r="AW30" s="15">
        <v>5.0</v>
      </c>
      <c r="AX30" s="15">
        <v>5.0</v>
      </c>
      <c r="AY30" s="15">
        <v>4.0</v>
      </c>
      <c r="AZ30" s="15">
        <v>4.0</v>
      </c>
      <c r="BA30" s="20">
        <f t="shared" si="7"/>
        <v>26</v>
      </c>
      <c r="BB30" s="15">
        <v>4.0</v>
      </c>
      <c r="BC30" s="15">
        <v>5.0</v>
      </c>
      <c r="BD30" s="15">
        <v>5.0</v>
      </c>
      <c r="BE30" s="15">
        <v>4.0</v>
      </c>
      <c r="BF30" s="15">
        <v>4.0</v>
      </c>
      <c r="BG30" s="15">
        <v>5.0</v>
      </c>
      <c r="BH30" s="21">
        <f t="shared" si="8"/>
        <v>27</v>
      </c>
      <c r="BI30" s="15">
        <v>4.0</v>
      </c>
      <c r="BJ30" s="15">
        <v>5.0</v>
      </c>
      <c r="BK30" s="15">
        <v>5.0</v>
      </c>
      <c r="BL30" s="15">
        <v>4.0</v>
      </c>
      <c r="BM30" s="15">
        <v>4.0</v>
      </c>
      <c r="BN30" s="15">
        <v>5.0</v>
      </c>
      <c r="BO30" s="21">
        <f t="shared" si="9"/>
        <v>27</v>
      </c>
      <c r="BP30" s="22">
        <v>5.0</v>
      </c>
      <c r="BQ30" s="15">
        <v>5.0</v>
      </c>
      <c r="BR30" s="15">
        <v>4.0</v>
      </c>
      <c r="BS30" s="15">
        <v>4.0</v>
      </c>
      <c r="BT30" s="15">
        <v>5.0</v>
      </c>
      <c r="BU30" s="15">
        <v>4.0</v>
      </c>
      <c r="BV30" s="15">
        <v>5.0</v>
      </c>
      <c r="BW30" s="15">
        <v>5.0</v>
      </c>
      <c r="BX30" s="15">
        <v>4.0</v>
      </c>
      <c r="BY30" s="15">
        <v>4.0</v>
      </c>
      <c r="BZ30" s="15">
        <v>5.0</v>
      </c>
      <c r="CA30" s="15">
        <v>5.0</v>
      </c>
      <c r="CB30" s="23">
        <f t="shared" si="10"/>
        <v>55</v>
      </c>
      <c r="CC30" s="24">
        <v>27.0</v>
      </c>
      <c r="CD30" s="18">
        <v>27.0</v>
      </c>
      <c r="CE30" s="18">
        <v>27.0</v>
      </c>
      <c r="CF30" s="19">
        <v>27.0</v>
      </c>
      <c r="CG30" s="19">
        <v>28.0</v>
      </c>
      <c r="CH30" s="20">
        <v>26.0</v>
      </c>
      <c r="CI30" s="25">
        <v>27.0</v>
      </c>
      <c r="CJ30" s="25">
        <v>27.0</v>
      </c>
      <c r="CK30" s="26" t="str">
        <f t="shared" si="11"/>
        <v>Linguistic Intelligence</v>
      </c>
      <c r="CL30" s="26"/>
    </row>
    <row r="31" ht="22.5" customHeight="1">
      <c r="A31" s="14">
        <v>46027.817051261576</v>
      </c>
      <c r="B31" s="15" t="s">
        <v>89</v>
      </c>
      <c r="C31" s="15" t="s">
        <v>90</v>
      </c>
      <c r="D31" s="15" t="s">
        <v>91</v>
      </c>
      <c r="E31" s="15" t="s">
        <v>92</v>
      </c>
      <c r="F31" s="16"/>
      <c r="G31" s="15">
        <v>3.0</v>
      </c>
      <c r="H31" s="15">
        <v>3.0</v>
      </c>
      <c r="I31" s="15">
        <v>3.0</v>
      </c>
      <c r="J31" s="15">
        <v>3.0</v>
      </c>
      <c r="K31" s="17">
        <f t="shared" si="1"/>
        <v>12</v>
      </c>
      <c r="L31" s="15">
        <v>3.0</v>
      </c>
      <c r="M31" s="15">
        <v>3.0</v>
      </c>
      <c r="N31" s="15">
        <v>3.0</v>
      </c>
      <c r="O31" s="15">
        <v>3.0</v>
      </c>
      <c r="P31" s="15">
        <v>3.0</v>
      </c>
      <c r="Q31" s="15">
        <v>3.0</v>
      </c>
      <c r="R31" s="18">
        <f t="shared" si="2"/>
        <v>18</v>
      </c>
      <c r="S31" s="15">
        <v>3.0</v>
      </c>
      <c r="T31" s="15">
        <v>3.0</v>
      </c>
      <c r="U31" s="15">
        <v>3.0</v>
      </c>
      <c r="V31" s="15">
        <v>3.0</v>
      </c>
      <c r="W31" s="15">
        <v>3.0</v>
      </c>
      <c r="X31" s="15">
        <v>3.0</v>
      </c>
      <c r="Y31" s="18">
        <f t="shared" si="3"/>
        <v>18</v>
      </c>
      <c r="Z31" s="15">
        <v>3.0</v>
      </c>
      <c r="AA31" s="15">
        <v>3.0</v>
      </c>
      <c r="AB31" s="15">
        <v>3.0</v>
      </c>
      <c r="AC31" s="15">
        <v>3.0</v>
      </c>
      <c r="AD31" s="15">
        <v>3.0</v>
      </c>
      <c r="AE31" s="15">
        <v>3.0</v>
      </c>
      <c r="AF31" s="18">
        <f t="shared" si="4"/>
        <v>18</v>
      </c>
      <c r="AG31" s="15">
        <v>3.0</v>
      </c>
      <c r="AH31" s="15">
        <v>3.0</v>
      </c>
      <c r="AI31" s="15">
        <v>3.0</v>
      </c>
      <c r="AJ31" s="15">
        <v>3.0</v>
      </c>
      <c r="AK31" s="15">
        <v>3.0</v>
      </c>
      <c r="AL31" s="15">
        <v>3.0</v>
      </c>
      <c r="AM31" s="19">
        <f t="shared" si="5"/>
        <v>18</v>
      </c>
      <c r="AN31" s="15">
        <v>3.0</v>
      </c>
      <c r="AO31" s="15">
        <v>3.0</v>
      </c>
      <c r="AP31" s="15">
        <v>3.0</v>
      </c>
      <c r="AQ31" s="15">
        <v>3.0</v>
      </c>
      <c r="AR31" s="15">
        <v>3.0</v>
      </c>
      <c r="AS31" s="15">
        <v>3.0</v>
      </c>
      <c r="AT31" s="19">
        <f t="shared" si="6"/>
        <v>18</v>
      </c>
      <c r="AU31" s="15">
        <v>3.0</v>
      </c>
      <c r="AV31" s="15">
        <v>3.0</v>
      </c>
      <c r="AW31" s="15">
        <v>3.0</v>
      </c>
      <c r="AX31" s="15">
        <v>3.0</v>
      </c>
      <c r="AY31" s="15">
        <v>3.0</v>
      </c>
      <c r="AZ31" s="15">
        <v>3.0</v>
      </c>
      <c r="BA31" s="20">
        <f t="shared" si="7"/>
        <v>18</v>
      </c>
      <c r="BB31" s="15">
        <v>3.0</v>
      </c>
      <c r="BC31" s="15">
        <v>3.0</v>
      </c>
      <c r="BD31" s="15">
        <v>3.0</v>
      </c>
      <c r="BE31" s="15">
        <v>3.0</v>
      </c>
      <c r="BF31" s="15">
        <v>3.0</v>
      </c>
      <c r="BG31" s="15">
        <v>3.0</v>
      </c>
      <c r="BH31" s="21">
        <f t="shared" si="8"/>
        <v>18</v>
      </c>
      <c r="BI31" s="15">
        <v>3.0</v>
      </c>
      <c r="BJ31" s="15">
        <v>3.0</v>
      </c>
      <c r="BK31" s="15">
        <v>3.0</v>
      </c>
      <c r="BL31" s="15">
        <v>3.0</v>
      </c>
      <c r="BM31" s="15">
        <v>3.0</v>
      </c>
      <c r="BN31" s="15">
        <v>3.0</v>
      </c>
      <c r="BO31" s="21">
        <f t="shared" si="9"/>
        <v>18</v>
      </c>
      <c r="BP31" s="22">
        <v>3.0</v>
      </c>
      <c r="BQ31" s="15">
        <v>3.0</v>
      </c>
      <c r="BR31" s="15">
        <v>3.0</v>
      </c>
      <c r="BS31" s="15">
        <v>3.0</v>
      </c>
      <c r="BT31" s="15">
        <v>3.0</v>
      </c>
      <c r="BU31" s="15">
        <v>3.0</v>
      </c>
      <c r="BV31" s="15">
        <v>3.0</v>
      </c>
      <c r="BW31" s="15">
        <v>3.0</v>
      </c>
      <c r="BX31" s="15">
        <v>3.0</v>
      </c>
      <c r="BY31" s="15">
        <v>3.0</v>
      </c>
      <c r="BZ31" s="15">
        <v>3.0</v>
      </c>
      <c r="CA31" s="15">
        <v>3.0</v>
      </c>
      <c r="CB31" s="23">
        <f t="shared" si="10"/>
        <v>36</v>
      </c>
      <c r="CC31" s="24">
        <v>18.0</v>
      </c>
      <c r="CD31" s="18">
        <v>18.0</v>
      </c>
      <c r="CE31" s="18">
        <v>18.0</v>
      </c>
      <c r="CF31" s="19">
        <v>18.0</v>
      </c>
      <c r="CG31" s="19">
        <v>18.0</v>
      </c>
      <c r="CH31" s="20">
        <v>18.0</v>
      </c>
      <c r="CI31" s="25">
        <v>18.0</v>
      </c>
      <c r="CJ31" s="25">
        <v>18.0</v>
      </c>
      <c r="CK31" s="26" t="str">
        <f t="shared" si="11"/>
        <v>Intrapersonal Intelligence</v>
      </c>
      <c r="CL31" s="26"/>
    </row>
    <row r="32" ht="22.5" customHeight="1">
      <c r="A32" s="14">
        <v>46027.81807245371</v>
      </c>
      <c r="B32" s="15" t="s">
        <v>89</v>
      </c>
      <c r="C32" s="15" t="s">
        <v>90</v>
      </c>
      <c r="D32" s="15" t="s">
        <v>91</v>
      </c>
      <c r="E32" s="15" t="s">
        <v>92</v>
      </c>
      <c r="F32" s="16"/>
      <c r="G32" s="15">
        <v>4.0</v>
      </c>
      <c r="H32" s="15">
        <v>4.0</v>
      </c>
      <c r="I32" s="15">
        <v>4.0</v>
      </c>
      <c r="J32" s="15">
        <v>4.0</v>
      </c>
      <c r="K32" s="17">
        <f t="shared" si="1"/>
        <v>16</v>
      </c>
      <c r="L32" s="15">
        <v>4.0</v>
      </c>
      <c r="M32" s="15">
        <v>4.0</v>
      </c>
      <c r="N32" s="15">
        <v>3.0</v>
      </c>
      <c r="O32" s="15">
        <v>3.0</v>
      </c>
      <c r="P32" s="15">
        <v>4.0</v>
      </c>
      <c r="Q32" s="15">
        <v>4.0</v>
      </c>
      <c r="R32" s="18">
        <f t="shared" si="2"/>
        <v>22</v>
      </c>
      <c r="S32" s="15">
        <v>3.0</v>
      </c>
      <c r="T32" s="15">
        <v>4.0</v>
      </c>
      <c r="U32" s="15">
        <v>4.0</v>
      </c>
      <c r="V32" s="15">
        <v>4.0</v>
      </c>
      <c r="W32" s="15">
        <v>4.0</v>
      </c>
      <c r="X32" s="15">
        <v>4.0</v>
      </c>
      <c r="Y32" s="18">
        <f t="shared" si="3"/>
        <v>23</v>
      </c>
      <c r="Z32" s="15">
        <v>4.0</v>
      </c>
      <c r="AA32" s="15">
        <v>4.0</v>
      </c>
      <c r="AB32" s="15">
        <v>4.0</v>
      </c>
      <c r="AC32" s="15">
        <v>4.0</v>
      </c>
      <c r="AD32" s="15">
        <v>4.0</v>
      </c>
      <c r="AE32" s="15">
        <v>4.0</v>
      </c>
      <c r="AF32" s="18">
        <f t="shared" si="4"/>
        <v>24</v>
      </c>
      <c r="AG32" s="15">
        <v>4.0</v>
      </c>
      <c r="AH32" s="15">
        <v>4.0</v>
      </c>
      <c r="AI32" s="15">
        <v>4.0</v>
      </c>
      <c r="AJ32" s="15">
        <v>4.0</v>
      </c>
      <c r="AK32" s="15">
        <v>4.0</v>
      </c>
      <c r="AL32" s="15">
        <v>4.0</v>
      </c>
      <c r="AM32" s="19">
        <f t="shared" si="5"/>
        <v>24</v>
      </c>
      <c r="AN32" s="15">
        <v>4.0</v>
      </c>
      <c r="AO32" s="15">
        <v>4.0</v>
      </c>
      <c r="AP32" s="15">
        <v>4.0</v>
      </c>
      <c r="AQ32" s="15">
        <v>4.0</v>
      </c>
      <c r="AR32" s="15">
        <v>4.0</v>
      </c>
      <c r="AS32" s="15">
        <v>4.0</v>
      </c>
      <c r="AT32" s="19">
        <f t="shared" si="6"/>
        <v>24</v>
      </c>
      <c r="AU32" s="15">
        <v>4.0</v>
      </c>
      <c r="AV32" s="15">
        <v>4.0</v>
      </c>
      <c r="AW32" s="15">
        <v>4.0</v>
      </c>
      <c r="AX32" s="15">
        <v>4.0</v>
      </c>
      <c r="AY32" s="15">
        <v>4.0</v>
      </c>
      <c r="AZ32" s="15">
        <v>4.0</v>
      </c>
      <c r="BA32" s="20">
        <f t="shared" si="7"/>
        <v>24</v>
      </c>
      <c r="BB32" s="15">
        <v>4.0</v>
      </c>
      <c r="BC32" s="15">
        <v>4.0</v>
      </c>
      <c r="BD32" s="15">
        <v>4.0</v>
      </c>
      <c r="BE32" s="15">
        <v>4.0</v>
      </c>
      <c r="BF32" s="15">
        <v>4.0</v>
      </c>
      <c r="BG32" s="15">
        <v>4.0</v>
      </c>
      <c r="BH32" s="21">
        <f t="shared" si="8"/>
        <v>24</v>
      </c>
      <c r="BI32" s="15">
        <v>4.0</v>
      </c>
      <c r="BJ32" s="15">
        <v>4.0</v>
      </c>
      <c r="BK32" s="15">
        <v>4.0</v>
      </c>
      <c r="BL32" s="15">
        <v>4.0</v>
      </c>
      <c r="BM32" s="15">
        <v>4.0</v>
      </c>
      <c r="BN32" s="15">
        <v>4.0</v>
      </c>
      <c r="BO32" s="21">
        <f t="shared" si="9"/>
        <v>24</v>
      </c>
      <c r="BP32" s="22">
        <v>4.0</v>
      </c>
      <c r="BQ32" s="15">
        <v>4.0</v>
      </c>
      <c r="BR32" s="15">
        <v>4.0</v>
      </c>
      <c r="BS32" s="15">
        <v>4.0</v>
      </c>
      <c r="BT32" s="15">
        <v>4.0</v>
      </c>
      <c r="BU32" s="15">
        <v>4.0</v>
      </c>
      <c r="BV32" s="15">
        <v>4.0</v>
      </c>
      <c r="BW32" s="15">
        <v>4.0</v>
      </c>
      <c r="BX32" s="15">
        <v>4.0</v>
      </c>
      <c r="BY32" s="15">
        <v>4.0</v>
      </c>
      <c r="BZ32" s="15">
        <v>4.0</v>
      </c>
      <c r="CA32" s="15">
        <v>4.0</v>
      </c>
      <c r="CB32" s="23">
        <f t="shared" si="10"/>
        <v>48</v>
      </c>
      <c r="CC32" s="24">
        <v>22.0</v>
      </c>
      <c r="CD32" s="18">
        <v>23.0</v>
      </c>
      <c r="CE32" s="18">
        <v>24.0</v>
      </c>
      <c r="CF32" s="19">
        <v>24.0</v>
      </c>
      <c r="CG32" s="19">
        <v>24.0</v>
      </c>
      <c r="CH32" s="20">
        <v>24.0</v>
      </c>
      <c r="CI32" s="25">
        <v>24.0</v>
      </c>
      <c r="CJ32" s="25">
        <v>24.0</v>
      </c>
      <c r="CK32" s="26" t="str">
        <f t="shared" si="11"/>
        <v>Logical–Mathematical Intelligence</v>
      </c>
      <c r="CL32" s="26"/>
    </row>
    <row r="33" ht="22.5" customHeight="1">
      <c r="A33" s="14">
        <v>46027.82184212963</v>
      </c>
      <c r="B33" s="15" t="s">
        <v>89</v>
      </c>
      <c r="C33" s="15" t="s">
        <v>90</v>
      </c>
      <c r="D33" s="15" t="s">
        <v>91</v>
      </c>
      <c r="E33" s="15" t="s">
        <v>92</v>
      </c>
      <c r="F33" s="16"/>
      <c r="G33" s="15">
        <v>3.0</v>
      </c>
      <c r="H33" s="15">
        <v>3.0</v>
      </c>
      <c r="I33" s="15">
        <v>3.0</v>
      </c>
      <c r="J33" s="15">
        <v>3.0</v>
      </c>
      <c r="K33" s="17">
        <f t="shared" si="1"/>
        <v>12</v>
      </c>
      <c r="L33" s="15">
        <v>3.0</v>
      </c>
      <c r="M33" s="15">
        <v>3.0</v>
      </c>
      <c r="N33" s="15">
        <v>3.0</v>
      </c>
      <c r="O33" s="15">
        <v>3.0</v>
      </c>
      <c r="P33" s="15">
        <v>3.0</v>
      </c>
      <c r="Q33" s="15">
        <v>3.0</v>
      </c>
      <c r="R33" s="18">
        <f t="shared" si="2"/>
        <v>18</v>
      </c>
      <c r="S33" s="15">
        <v>3.0</v>
      </c>
      <c r="T33" s="15">
        <v>3.0</v>
      </c>
      <c r="U33" s="15">
        <v>3.0</v>
      </c>
      <c r="V33" s="15">
        <v>3.0</v>
      </c>
      <c r="W33" s="15">
        <v>3.0</v>
      </c>
      <c r="X33" s="15">
        <v>3.0</v>
      </c>
      <c r="Y33" s="18">
        <f t="shared" si="3"/>
        <v>18</v>
      </c>
      <c r="Z33" s="15">
        <v>3.0</v>
      </c>
      <c r="AA33" s="15">
        <v>3.0</v>
      </c>
      <c r="AB33" s="15">
        <v>3.0</v>
      </c>
      <c r="AC33" s="15">
        <v>3.0</v>
      </c>
      <c r="AD33" s="15">
        <v>3.0</v>
      </c>
      <c r="AE33" s="15">
        <v>3.0</v>
      </c>
      <c r="AF33" s="18">
        <f t="shared" si="4"/>
        <v>18</v>
      </c>
      <c r="AG33" s="15">
        <v>3.0</v>
      </c>
      <c r="AH33" s="15">
        <v>3.0</v>
      </c>
      <c r="AI33" s="15">
        <v>3.0</v>
      </c>
      <c r="AJ33" s="15">
        <v>3.0</v>
      </c>
      <c r="AK33" s="15">
        <v>3.0</v>
      </c>
      <c r="AL33" s="15">
        <v>3.0</v>
      </c>
      <c r="AM33" s="19">
        <f t="shared" si="5"/>
        <v>18</v>
      </c>
      <c r="AN33" s="15">
        <v>3.0</v>
      </c>
      <c r="AO33" s="15">
        <v>3.0</v>
      </c>
      <c r="AP33" s="15">
        <v>3.0</v>
      </c>
      <c r="AQ33" s="15">
        <v>3.0</v>
      </c>
      <c r="AR33" s="15">
        <v>3.0</v>
      </c>
      <c r="AS33" s="15">
        <v>3.0</v>
      </c>
      <c r="AT33" s="19">
        <f t="shared" si="6"/>
        <v>18</v>
      </c>
      <c r="AU33" s="15">
        <v>3.0</v>
      </c>
      <c r="AV33" s="15">
        <v>3.0</v>
      </c>
      <c r="AW33" s="15">
        <v>3.0</v>
      </c>
      <c r="AX33" s="15">
        <v>3.0</v>
      </c>
      <c r="AY33" s="15">
        <v>3.0</v>
      </c>
      <c r="AZ33" s="15">
        <v>3.0</v>
      </c>
      <c r="BA33" s="20">
        <f t="shared" si="7"/>
        <v>18</v>
      </c>
      <c r="BB33" s="15">
        <v>3.0</v>
      </c>
      <c r="BC33" s="15">
        <v>3.0</v>
      </c>
      <c r="BD33" s="15">
        <v>3.0</v>
      </c>
      <c r="BE33" s="15">
        <v>3.0</v>
      </c>
      <c r="BF33" s="15">
        <v>3.0</v>
      </c>
      <c r="BG33" s="15">
        <v>3.0</v>
      </c>
      <c r="BH33" s="21">
        <f t="shared" si="8"/>
        <v>18</v>
      </c>
      <c r="BI33" s="15">
        <v>3.0</v>
      </c>
      <c r="BJ33" s="15">
        <v>3.0</v>
      </c>
      <c r="BK33" s="15">
        <v>3.0</v>
      </c>
      <c r="BL33" s="15">
        <v>3.0</v>
      </c>
      <c r="BM33" s="15">
        <v>3.0</v>
      </c>
      <c r="BN33" s="15">
        <v>3.0</v>
      </c>
      <c r="BO33" s="21">
        <f t="shared" si="9"/>
        <v>18</v>
      </c>
      <c r="BP33" s="22">
        <v>3.0</v>
      </c>
      <c r="BQ33" s="15">
        <v>3.0</v>
      </c>
      <c r="BR33" s="15">
        <v>3.0</v>
      </c>
      <c r="BS33" s="15">
        <v>3.0</v>
      </c>
      <c r="BT33" s="15">
        <v>3.0</v>
      </c>
      <c r="BU33" s="15">
        <v>3.0</v>
      </c>
      <c r="BV33" s="15">
        <v>3.0</v>
      </c>
      <c r="BW33" s="15">
        <v>3.0</v>
      </c>
      <c r="BX33" s="15">
        <v>3.0</v>
      </c>
      <c r="BY33" s="15">
        <v>3.0</v>
      </c>
      <c r="BZ33" s="15">
        <v>3.0</v>
      </c>
      <c r="CA33" s="15">
        <v>3.0</v>
      </c>
      <c r="CB33" s="23">
        <f t="shared" si="10"/>
        <v>36</v>
      </c>
      <c r="CC33" s="24">
        <v>18.0</v>
      </c>
      <c r="CD33" s="18">
        <v>18.0</v>
      </c>
      <c r="CE33" s="18">
        <v>18.0</v>
      </c>
      <c r="CF33" s="19">
        <v>18.0</v>
      </c>
      <c r="CG33" s="19">
        <v>18.0</v>
      </c>
      <c r="CH33" s="20">
        <v>18.0</v>
      </c>
      <c r="CI33" s="25">
        <v>18.0</v>
      </c>
      <c r="CJ33" s="25">
        <v>18.0</v>
      </c>
      <c r="CK33" s="26" t="str">
        <f t="shared" si="11"/>
        <v>Intrapersonal Intelligence</v>
      </c>
      <c r="CL33" s="26"/>
    </row>
    <row r="34" ht="22.5" customHeight="1">
      <c r="A34" s="14">
        <v>46027.82567506944</v>
      </c>
      <c r="B34" s="15" t="s">
        <v>89</v>
      </c>
      <c r="C34" s="15" t="s">
        <v>90</v>
      </c>
      <c r="D34" s="15" t="s">
        <v>91</v>
      </c>
      <c r="E34" s="15" t="s">
        <v>92</v>
      </c>
      <c r="F34" s="16"/>
      <c r="G34" s="15">
        <v>3.0</v>
      </c>
      <c r="H34" s="15">
        <v>3.0</v>
      </c>
      <c r="I34" s="15">
        <v>3.0</v>
      </c>
      <c r="J34" s="15">
        <v>3.0</v>
      </c>
      <c r="K34" s="17">
        <f t="shared" si="1"/>
        <v>12</v>
      </c>
      <c r="L34" s="15">
        <v>3.0</v>
      </c>
      <c r="M34" s="15">
        <v>3.0</v>
      </c>
      <c r="N34" s="15">
        <v>3.0</v>
      </c>
      <c r="O34" s="15">
        <v>3.0</v>
      </c>
      <c r="P34" s="15">
        <v>4.0</v>
      </c>
      <c r="Q34" s="15">
        <v>3.0</v>
      </c>
      <c r="R34" s="18">
        <f t="shared" si="2"/>
        <v>19</v>
      </c>
      <c r="S34" s="15">
        <v>3.0</v>
      </c>
      <c r="T34" s="15">
        <v>3.0</v>
      </c>
      <c r="U34" s="15">
        <v>3.0</v>
      </c>
      <c r="V34" s="15">
        <v>3.0</v>
      </c>
      <c r="W34" s="15">
        <v>3.0</v>
      </c>
      <c r="X34" s="15">
        <v>3.0</v>
      </c>
      <c r="Y34" s="18">
        <f t="shared" si="3"/>
        <v>18</v>
      </c>
      <c r="Z34" s="15">
        <v>3.0</v>
      </c>
      <c r="AA34" s="15">
        <v>3.0</v>
      </c>
      <c r="AB34" s="15">
        <v>3.0</v>
      </c>
      <c r="AC34" s="15">
        <v>3.0</v>
      </c>
      <c r="AD34" s="15">
        <v>3.0</v>
      </c>
      <c r="AE34" s="15">
        <v>3.0</v>
      </c>
      <c r="AF34" s="18">
        <f t="shared" si="4"/>
        <v>18</v>
      </c>
      <c r="AG34" s="15">
        <v>3.0</v>
      </c>
      <c r="AH34" s="15">
        <v>3.0</v>
      </c>
      <c r="AI34" s="15">
        <v>3.0</v>
      </c>
      <c r="AJ34" s="15">
        <v>3.0</v>
      </c>
      <c r="AK34" s="15">
        <v>3.0</v>
      </c>
      <c r="AL34" s="15">
        <v>3.0</v>
      </c>
      <c r="AM34" s="19">
        <f t="shared" si="5"/>
        <v>18</v>
      </c>
      <c r="AN34" s="15">
        <v>3.0</v>
      </c>
      <c r="AO34" s="15">
        <v>3.0</v>
      </c>
      <c r="AP34" s="15">
        <v>3.0</v>
      </c>
      <c r="AQ34" s="15">
        <v>3.0</v>
      </c>
      <c r="AR34" s="15">
        <v>3.0</v>
      </c>
      <c r="AS34" s="15">
        <v>3.0</v>
      </c>
      <c r="AT34" s="19">
        <f t="shared" si="6"/>
        <v>18</v>
      </c>
      <c r="AU34" s="15">
        <v>3.0</v>
      </c>
      <c r="AV34" s="15">
        <v>3.0</v>
      </c>
      <c r="AW34" s="15">
        <v>3.0</v>
      </c>
      <c r="AX34" s="15">
        <v>3.0</v>
      </c>
      <c r="AY34" s="15">
        <v>3.0</v>
      </c>
      <c r="AZ34" s="15">
        <v>3.0</v>
      </c>
      <c r="BA34" s="20">
        <f t="shared" si="7"/>
        <v>18</v>
      </c>
      <c r="BB34" s="15">
        <v>3.0</v>
      </c>
      <c r="BC34" s="15">
        <v>4.0</v>
      </c>
      <c r="BD34" s="15">
        <v>3.0</v>
      </c>
      <c r="BE34" s="15">
        <v>4.0</v>
      </c>
      <c r="BF34" s="15">
        <v>4.0</v>
      </c>
      <c r="BG34" s="15">
        <v>3.0</v>
      </c>
      <c r="BH34" s="21">
        <f t="shared" si="8"/>
        <v>21</v>
      </c>
      <c r="BI34" s="15">
        <v>3.0</v>
      </c>
      <c r="BJ34" s="15">
        <v>4.0</v>
      </c>
      <c r="BK34" s="15">
        <v>3.0</v>
      </c>
      <c r="BL34" s="15">
        <v>4.0</v>
      </c>
      <c r="BM34" s="15">
        <v>4.0</v>
      </c>
      <c r="BN34" s="15">
        <v>4.0</v>
      </c>
      <c r="BO34" s="21">
        <f t="shared" si="9"/>
        <v>22</v>
      </c>
      <c r="BP34" s="22">
        <v>3.0</v>
      </c>
      <c r="BQ34" s="15">
        <v>3.0</v>
      </c>
      <c r="BR34" s="15">
        <v>3.0</v>
      </c>
      <c r="BS34" s="15">
        <v>3.0</v>
      </c>
      <c r="BT34" s="15">
        <v>3.0</v>
      </c>
      <c r="BU34" s="15">
        <v>3.0</v>
      </c>
      <c r="BV34" s="15">
        <v>3.0</v>
      </c>
      <c r="BW34" s="15">
        <v>3.0</v>
      </c>
      <c r="BX34" s="15">
        <v>3.0</v>
      </c>
      <c r="BY34" s="15">
        <v>3.0</v>
      </c>
      <c r="BZ34" s="15">
        <v>3.0</v>
      </c>
      <c r="CA34" s="15">
        <v>3.0</v>
      </c>
      <c r="CB34" s="23">
        <f t="shared" si="10"/>
        <v>36</v>
      </c>
      <c r="CC34" s="24">
        <v>19.0</v>
      </c>
      <c r="CD34" s="18">
        <v>18.0</v>
      </c>
      <c r="CE34" s="18">
        <v>18.0</v>
      </c>
      <c r="CF34" s="19">
        <v>18.0</v>
      </c>
      <c r="CG34" s="19">
        <v>18.0</v>
      </c>
      <c r="CH34" s="20">
        <v>18.0</v>
      </c>
      <c r="CI34" s="25">
        <v>21.0</v>
      </c>
      <c r="CJ34" s="25">
        <v>22.0</v>
      </c>
      <c r="CK34" s="26" t="str">
        <f t="shared" si="11"/>
        <v>Musical Intelligence</v>
      </c>
      <c r="CL34" s="26"/>
    </row>
    <row r="35" ht="22.5" customHeight="1">
      <c r="A35" s="14">
        <v>46027.83718638889</v>
      </c>
      <c r="B35" s="15" t="s">
        <v>89</v>
      </c>
      <c r="C35" s="15" t="s">
        <v>90</v>
      </c>
      <c r="D35" s="15" t="s">
        <v>91</v>
      </c>
      <c r="E35" s="15" t="s">
        <v>92</v>
      </c>
      <c r="F35" s="16"/>
      <c r="G35" s="15">
        <v>4.0</v>
      </c>
      <c r="H35" s="15">
        <v>4.0</v>
      </c>
      <c r="I35" s="15">
        <v>4.0</v>
      </c>
      <c r="J35" s="15">
        <v>4.0</v>
      </c>
      <c r="K35" s="17">
        <f t="shared" si="1"/>
        <v>16</v>
      </c>
      <c r="L35" s="15">
        <v>3.0</v>
      </c>
      <c r="M35" s="15">
        <v>3.0</v>
      </c>
      <c r="N35" s="15">
        <v>3.0</v>
      </c>
      <c r="O35" s="15">
        <v>3.0</v>
      </c>
      <c r="P35" s="15">
        <v>3.0</v>
      </c>
      <c r="Q35" s="15">
        <v>3.0</v>
      </c>
      <c r="R35" s="18">
        <f t="shared" si="2"/>
        <v>18</v>
      </c>
      <c r="S35" s="15">
        <v>3.0</v>
      </c>
      <c r="T35" s="15">
        <v>3.0</v>
      </c>
      <c r="U35" s="15">
        <v>3.0</v>
      </c>
      <c r="V35" s="15">
        <v>3.0</v>
      </c>
      <c r="W35" s="15">
        <v>3.0</v>
      </c>
      <c r="X35" s="15">
        <v>3.0</v>
      </c>
      <c r="Y35" s="18">
        <f t="shared" si="3"/>
        <v>18</v>
      </c>
      <c r="Z35" s="15">
        <v>3.0</v>
      </c>
      <c r="AA35" s="15">
        <v>3.0</v>
      </c>
      <c r="AB35" s="15">
        <v>3.0</v>
      </c>
      <c r="AC35" s="15">
        <v>3.0</v>
      </c>
      <c r="AD35" s="15">
        <v>3.0</v>
      </c>
      <c r="AE35" s="15">
        <v>3.0</v>
      </c>
      <c r="AF35" s="18">
        <f t="shared" si="4"/>
        <v>18</v>
      </c>
      <c r="AG35" s="15">
        <v>3.0</v>
      </c>
      <c r="AH35" s="15">
        <v>3.0</v>
      </c>
      <c r="AI35" s="15">
        <v>3.0</v>
      </c>
      <c r="AJ35" s="15">
        <v>3.0</v>
      </c>
      <c r="AK35" s="15">
        <v>3.0</v>
      </c>
      <c r="AL35" s="15">
        <v>3.0</v>
      </c>
      <c r="AM35" s="19">
        <f t="shared" si="5"/>
        <v>18</v>
      </c>
      <c r="AN35" s="15">
        <v>3.0</v>
      </c>
      <c r="AO35" s="15">
        <v>3.0</v>
      </c>
      <c r="AP35" s="15">
        <v>3.0</v>
      </c>
      <c r="AQ35" s="15">
        <v>3.0</v>
      </c>
      <c r="AR35" s="15">
        <v>3.0</v>
      </c>
      <c r="AS35" s="15">
        <v>3.0</v>
      </c>
      <c r="AT35" s="19">
        <f t="shared" si="6"/>
        <v>18</v>
      </c>
      <c r="AU35" s="15">
        <v>3.0</v>
      </c>
      <c r="AV35" s="15">
        <v>3.0</v>
      </c>
      <c r="AW35" s="15">
        <v>3.0</v>
      </c>
      <c r="AX35" s="15">
        <v>3.0</v>
      </c>
      <c r="AY35" s="15">
        <v>3.0</v>
      </c>
      <c r="AZ35" s="15">
        <v>3.0</v>
      </c>
      <c r="BA35" s="20">
        <f t="shared" si="7"/>
        <v>18</v>
      </c>
      <c r="BB35" s="15">
        <v>3.0</v>
      </c>
      <c r="BC35" s="15">
        <v>3.0</v>
      </c>
      <c r="BD35" s="15">
        <v>4.0</v>
      </c>
      <c r="BE35" s="15">
        <v>4.0</v>
      </c>
      <c r="BF35" s="15">
        <v>5.0</v>
      </c>
      <c r="BG35" s="15">
        <v>5.0</v>
      </c>
      <c r="BH35" s="21">
        <f t="shared" si="8"/>
        <v>24</v>
      </c>
      <c r="BI35" s="15">
        <v>5.0</v>
      </c>
      <c r="BJ35" s="15">
        <v>5.0</v>
      </c>
      <c r="BK35" s="15">
        <v>5.0</v>
      </c>
      <c r="BL35" s="15">
        <v>5.0</v>
      </c>
      <c r="BM35" s="15">
        <v>5.0</v>
      </c>
      <c r="BN35" s="15">
        <v>5.0</v>
      </c>
      <c r="BO35" s="21">
        <f t="shared" si="9"/>
        <v>30</v>
      </c>
      <c r="BP35" s="22">
        <v>4.0</v>
      </c>
      <c r="BQ35" s="15">
        <v>4.0</v>
      </c>
      <c r="BR35" s="15">
        <v>4.0</v>
      </c>
      <c r="BS35" s="15">
        <v>4.0</v>
      </c>
      <c r="BT35" s="15">
        <v>4.0</v>
      </c>
      <c r="BU35" s="15">
        <v>4.0</v>
      </c>
      <c r="BV35" s="15">
        <v>4.0</v>
      </c>
      <c r="BW35" s="15">
        <v>4.0</v>
      </c>
      <c r="BX35" s="15">
        <v>4.0</v>
      </c>
      <c r="BY35" s="15">
        <v>4.0</v>
      </c>
      <c r="BZ35" s="15">
        <v>4.0</v>
      </c>
      <c r="CA35" s="15">
        <v>4.0</v>
      </c>
      <c r="CB35" s="23">
        <f t="shared" si="10"/>
        <v>48</v>
      </c>
      <c r="CC35" s="24">
        <v>18.0</v>
      </c>
      <c r="CD35" s="18">
        <v>18.0</v>
      </c>
      <c r="CE35" s="18">
        <v>18.0</v>
      </c>
      <c r="CF35" s="19">
        <v>18.0</v>
      </c>
      <c r="CG35" s="19">
        <v>18.0</v>
      </c>
      <c r="CH35" s="20">
        <v>18.0</v>
      </c>
      <c r="CI35" s="25">
        <v>24.0</v>
      </c>
      <c r="CJ35" s="25">
        <v>30.0</v>
      </c>
      <c r="CK35" s="26" t="str">
        <f t="shared" si="11"/>
        <v>Musical Intelligence</v>
      </c>
      <c r="CL35" s="26"/>
    </row>
    <row r="36" ht="22.5" customHeight="1">
      <c r="A36" s="14">
        <v>46027.83930603009</v>
      </c>
      <c r="B36" s="15" t="s">
        <v>89</v>
      </c>
      <c r="C36" s="15" t="s">
        <v>90</v>
      </c>
      <c r="D36" s="15" t="s">
        <v>91</v>
      </c>
      <c r="E36" s="15" t="s">
        <v>97</v>
      </c>
      <c r="F36" s="16"/>
      <c r="G36" s="15">
        <v>4.0</v>
      </c>
      <c r="H36" s="15">
        <v>4.0</v>
      </c>
      <c r="I36" s="15">
        <v>4.0</v>
      </c>
      <c r="J36" s="15">
        <v>4.0</v>
      </c>
      <c r="K36" s="17">
        <f t="shared" si="1"/>
        <v>16</v>
      </c>
      <c r="L36" s="15">
        <v>4.0</v>
      </c>
      <c r="M36" s="15">
        <v>4.0</v>
      </c>
      <c r="N36" s="15">
        <v>4.0</v>
      </c>
      <c r="O36" s="15">
        <v>4.0</v>
      </c>
      <c r="P36" s="15">
        <v>4.0</v>
      </c>
      <c r="Q36" s="15">
        <v>4.0</v>
      </c>
      <c r="R36" s="18">
        <f t="shared" si="2"/>
        <v>24</v>
      </c>
      <c r="S36" s="15">
        <v>4.0</v>
      </c>
      <c r="T36" s="15">
        <v>4.0</v>
      </c>
      <c r="U36" s="15">
        <v>4.0</v>
      </c>
      <c r="V36" s="15">
        <v>4.0</v>
      </c>
      <c r="W36" s="15">
        <v>4.0</v>
      </c>
      <c r="X36" s="15">
        <v>4.0</v>
      </c>
      <c r="Y36" s="18">
        <f t="shared" si="3"/>
        <v>24</v>
      </c>
      <c r="Z36" s="15">
        <v>4.0</v>
      </c>
      <c r="AA36" s="15">
        <v>4.0</v>
      </c>
      <c r="AB36" s="15">
        <v>4.0</v>
      </c>
      <c r="AC36" s="15">
        <v>4.0</v>
      </c>
      <c r="AD36" s="15">
        <v>4.0</v>
      </c>
      <c r="AE36" s="15">
        <v>4.0</v>
      </c>
      <c r="AF36" s="18">
        <f t="shared" si="4"/>
        <v>24</v>
      </c>
      <c r="AG36" s="15">
        <v>4.0</v>
      </c>
      <c r="AH36" s="15">
        <v>4.0</v>
      </c>
      <c r="AI36" s="15">
        <v>4.0</v>
      </c>
      <c r="AJ36" s="15">
        <v>4.0</v>
      </c>
      <c r="AK36" s="15">
        <v>4.0</v>
      </c>
      <c r="AL36" s="15">
        <v>4.0</v>
      </c>
      <c r="AM36" s="19">
        <f t="shared" si="5"/>
        <v>24</v>
      </c>
      <c r="AN36" s="15">
        <v>4.0</v>
      </c>
      <c r="AO36" s="15">
        <v>4.0</v>
      </c>
      <c r="AP36" s="15">
        <v>4.0</v>
      </c>
      <c r="AQ36" s="15">
        <v>4.0</v>
      </c>
      <c r="AR36" s="15">
        <v>4.0</v>
      </c>
      <c r="AS36" s="15">
        <v>4.0</v>
      </c>
      <c r="AT36" s="19">
        <f t="shared" si="6"/>
        <v>24</v>
      </c>
      <c r="AU36" s="15">
        <v>4.0</v>
      </c>
      <c r="AV36" s="15">
        <v>4.0</v>
      </c>
      <c r="AW36" s="15">
        <v>4.0</v>
      </c>
      <c r="AX36" s="15">
        <v>4.0</v>
      </c>
      <c r="AY36" s="15">
        <v>4.0</v>
      </c>
      <c r="AZ36" s="15">
        <v>4.0</v>
      </c>
      <c r="BA36" s="20">
        <f t="shared" si="7"/>
        <v>24</v>
      </c>
      <c r="BB36" s="15">
        <v>4.0</v>
      </c>
      <c r="BC36" s="15">
        <v>4.0</v>
      </c>
      <c r="BD36" s="15">
        <v>4.0</v>
      </c>
      <c r="BE36" s="15">
        <v>4.0</v>
      </c>
      <c r="BF36" s="15">
        <v>4.0</v>
      </c>
      <c r="BG36" s="15">
        <v>4.0</v>
      </c>
      <c r="BH36" s="21">
        <f t="shared" si="8"/>
        <v>24</v>
      </c>
      <c r="BI36" s="15">
        <v>4.0</v>
      </c>
      <c r="BJ36" s="15">
        <v>4.0</v>
      </c>
      <c r="BK36" s="15">
        <v>4.0</v>
      </c>
      <c r="BL36" s="15">
        <v>4.0</v>
      </c>
      <c r="BM36" s="15">
        <v>4.0</v>
      </c>
      <c r="BN36" s="15">
        <v>4.0</v>
      </c>
      <c r="BO36" s="21">
        <f t="shared" si="9"/>
        <v>24</v>
      </c>
      <c r="BP36" s="22">
        <v>3.0</v>
      </c>
      <c r="BQ36" s="15">
        <v>3.0</v>
      </c>
      <c r="BR36" s="15">
        <v>3.0</v>
      </c>
      <c r="BS36" s="15">
        <v>4.0</v>
      </c>
      <c r="BT36" s="15">
        <v>3.0</v>
      </c>
      <c r="BU36" s="15">
        <v>4.0</v>
      </c>
      <c r="BV36" s="15">
        <v>4.0</v>
      </c>
      <c r="BW36" s="15">
        <v>4.0</v>
      </c>
      <c r="BX36" s="15">
        <v>3.0</v>
      </c>
      <c r="BY36" s="15">
        <v>3.0</v>
      </c>
      <c r="BZ36" s="15">
        <v>3.0</v>
      </c>
      <c r="CA36" s="15">
        <v>3.0</v>
      </c>
      <c r="CB36" s="23">
        <f t="shared" si="10"/>
        <v>40</v>
      </c>
      <c r="CC36" s="24">
        <v>24.0</v>
      </c>
      <c r="CD36" s="18">
        <v>24.0</v>
      </c>
      <c r="CE36" s="18">
        <v>24.0</v>
      </c>
      <c r="CF36" s="19">
        <v>24.0</v>
      </c>
      <c r="CG36" s="19">
        <v>24.0</v>
      </c>
      <c r="CH36" s="20">
        <v>24.0</v>
      </c>
      <c r="CI36" s="25">
        <v>24.0</v>
      </c>
      <c r="CJ36" s="25">
        <v>24.0</v>
      </c>
      <c r="CK36" s="26" t="str">
        <f t="shared" si="11"/>
        <v>Intrapersonal Intelligence</v>
      </c>
      <c r="CL36" s="26"/>
    </row>
    <row r="37" ht="22.5" customHeight="1">
      <c r="A37" s="14">
        <v>46027.843632881944</v>
      </c>
      <c r="B37" s="15" t="s">
        <v>89</v>
      </c>
      <c r="C37" s="15" t="s">
        <v>90</v>
      </c>
      <c r="D37" s="15" t="s">
        <v>91</v>
      </c>
      <c r="E37" s="15" t="s">
        <v>92</v>
      </c>
      <c r="F37" s="16"/>
      <c r="G37" s="15">
        <v>3.0</v>
      </c>
      <c r="H37" s="15">
        <v>3.0</v>
      </c>
      <c r="I37" s="15">
        <v>3.0</v>
      </c>
      <c r="J37" s="15">
        <v>3.0</v>
      </c>
      <c r="K37" s="17">
        <f t="shared" si="1"/>
        <v>12</v>
      </c>
      <c r="L37" s="15">
        <v>3.0</v>
      </c>
      <c r="M37" s="15">
        <v>3.0</v>
      </c>
      <c r="N37" s="15">
        <v>3.0</v>
      </c>
      <c r="O37" s="15">
        <v>3.0</v>
      </c>
      <c r="P37" s="15">
        <v>3.0</v>
      </c>
      <c r="Q37" s="15">
        <v>3.0</v>
      </c>
      <c r="R37" s="18">
        <f t="shared" si="2"/>
        <v>18</v>
      </c>
      <c r="S37" s="15">
        <v>3.0</v>
      </c>
      <c r="T37" s="15">
        <v>3.0</v>
      </c>
      <c r="U37" s="15">
        <v>3.0</v>
      </c>
      <c r="V37" s="15">
        <v>3.0</v>
      </c>
      <c r="W37" s="15">
        <v>3.0</v>
      </c>
      <c r="X37" s="15">
        <v>3.0</v>
      </c>
      <c r="Y37" s="18">
        <f t="shared" si="3"/>
        <v>18</v>
      </c>
      <c r="Z37" s="15">
        <v>3.0</v>
      </c>
      <c r="AA37" s="15">
        <v>3.0</v>
      </c>
      <c r="AB37" s="15">
        <v>3.0</v>
      </c>
      <c r="AC37" s="15">
        <v>3.0</v>
      </c>
      <c r="AD37" s="15">
        <v>3.0</v>
      </c>
      <c r="AE37" s="15">
        <v>3.0</v>
      </c>
      <c r="AF37" s="18">
        <f t="shared" si="4"/>
        <v>18</v>
      </c>
      <c r="AG37" s="15">
        <v>3.0</v>
      </c>
      <c r="AH37" s="15">
        <v>3.0</v>
      </c>
      <c r="AI37" s="15">
        <v>3.0</v>
      </c>
      <c r="AJ37" s="15">
        <v>3.0</v>
      </c>
      <c r="AK37" s="15">
        <v>3.0</v>
      </c>
      <c r="AL37" s="15">
        <v>3.0</v>
      </c>
      <c r="AM37" s="19">
        <f t="shared" si="5"/>
        <v>18</v>
      </c>
      <c r="AN37" s="15">
        <v>3.0</v>
      </c>
      <c r="AO37" s="15">
        <v>3.0</v>
      </c>
      <c r="AP37" s="15">
        <v>3.0</v>
      </c>
      <c r="AQ37" s="15">
        <v>3.0</v>
      </c>
      <c r="AR37" s="15">
        <v>3.0</v>
      </c>
      <c r="AS37" s="15">
        <v>3.0</v>
      </c>
      <c r="AT37" s="19">
        <f t="shared" si="6"/>
        <v>18</v>
      </c>
      <c r="AU37" s="15">
        <v>3.0</v>
      </c>
      <c r="AV37" s="15">
        <v>3.0</v>
      </c>
      <c r="AW37" s="15">
        <v>3.0</v>
      </c>
      <c r="AX37" s="15">
        <v>3.0</v>
      </c>
      <c r="AY37" s="15">
        <v>3.0</v>
      </c>
      <c r="AZ37" s="15">
        <v>3.0</v>
      </c>
      <c r="BA37" s="20">
        <f t="shared" si="7"/>
        <v>18</v>
      </c>
      <c r="BB37" s="15">
        <v>3.0</v>
      </c>
      <c r="BC37" s="15">
        <v>3.0</v>
      </c>
      <c r="BD37" s="15">
        <v>3.0</v>
      </c>
      <c r="BE37" s="15">
        <v>3.0</v>
      </c>
      <c r="BF37" s="15">
        <v>3.0</v>
      </c>
      <c r="BG37" s="15">
        <v>3.0</v>
      </c>
      <c r="BH37" s="21">
        <f t="shared" si="8"/>
        <v>18</v>
      </c>
      <c r="BI37" s="15">
        <v>3.0</v>
      </c>
      <c r="BJ37" s="15">
        <v>3.0</v>
      </c>
      <c r="BK37" s="15">
        <v>3.0</v>
      </c>
      <c r="BL37" s="15">
        <v>3.0</v>
      </c>
      <c r="BM37" s="15">
        <v>3.0</v>
      </c>
      <c r="BN37" s="15">
        <v>3.0</v>
      </c>
      <c r="BO37" s="21">
        <f t="shared" si="9"/>
        <v>18</v>
      </c>
      <c r="BP37" s="22">
        <v>3.0</v>
      </c>
      <c r="BQ37" s="15">
        <v>3.0</v>
      </c>
      <c r="BR37" s="15">
        <v>3.0</v>
      </c>
      <c r="BS37" s="15">
        <v>3.0</v>
      </c>
      <c r="BT37" s="15">
        <v>3.0</v>
      </c>
      <c r="BU37" s="15">
        <v>3.0</v>
      </c>
      <c r="BV37" s="15">
        <v>3.0</v>
      </c>
      <c r="BW37" s="15">
        <v>3.0</v>
      </c>
      <c r="BX37" s="15">
        <v>3.0</v>
      </c>
      <c r="BY37" s="15">
        <v>3.0</v>
      </c>
      <c r="BZ37" s="15">
        <v>3.0</v>
      </c>
      <c r="CA37" s="15">
        <v>3.0</v>
      </c>
      <c r="CB37" s="23">
        <f t="shared" si="10"/>
        <v>36</v>
      </c>
      <c r="CC37" s="24">
        <v>18.0</v>
      </c>
      <c r="CD37" s="18">
        <v>18.0</v>
      </c>
      <c r="CE37" s="18">
        <v>18.0</v>
      </c>
      <c r="CF37" s="19">
        <v>18.0</v>
      </c>
      <c r="CG37" s="19">
        <v>18.0</v>
      </c>
      <c r="CH37" s="20">
        <v>18.0</v>
      </c>
      <c r="CI37" s="25">
        <v>18.0</v>
      </c>
      <c r="CJ37" s="25">
        <v>18.0</v>
      </c>
      <c r="CK37" s="26" t="str">
        <f t="shared" si="11"/>
        <v>Intrapersonal Intelligence</v>
      </c>
      <c r="CL37" s="26"/>
    </row>
    <row r="38" ht="22.5" customHeight="1">
      <c r="A38" s="14">
        <v>46027.88226596065</v>
      </c>
      <c r="B38" s="15" t="s">
        <v>89</v>
      </c>
      <c r="C38" s="15" t="s">
        <v>90</v>
      </c>
      <c r="D38" s="15" t="s">
        <v>91</v>
      </c>
      <c r="E38" s="15" t="s">
        <v>97</v>
      </c>
      <c r="F38" s="16" t="s">
        <v>107</v>
      </c>
      <c r="G38" s="15">
        <v>1.0</v>
      </c>
      <c r="H38" s="15">
        <v>5.0</v>
      </c>
      <c r="I38" s="15">
        <v>1.0</v>
      </c>
      <c r="J38" s="15">
        <v>3.0</v>
      </c>
      <c r="K38" s="17">
        <f t="shared" si="1"/>
        <v>10</v>
      </c>
      <c r="L38" s="15">
        <v>2.0</v>
      </c>
      <c r="M38" s="15">
        <v>4.0</v>
      </c>
      <c r="N38" s="15">
        <v>3.0</v>
      </c>
      <c r="O38" s="15">
        <v>3.0</v>
      </c>
      <c r="P38" s="15">
        <v>3.0</v>
      </c>
      <c r="Q38" s="15">
        <v>3.0</v>
      </c>
      <c r="R38" s="18">
        <f t="shared" si="2"/>
        <v>18</v>
      </c>
      <c r="S38" s="15">
        <v>3.0</v>
      </c>
      <c r="T38" s="15">
        <v>2.0</v>
      </c>
      <c r="U38" s="15">
        <v>2.0</v>
      </c>
      <c r="V38" s="15">
        <v>4.0</v>
      </c>
      <c r="W38" s="15">
        <v>4.0</v>
      </c>
      <c r="X38" s="15">
        <v>4.0</v>
      </c>
      <c r="Y38" s="18">
        <f t="shared" si="3"/>
        <v>19</v>
      </c>
      <c r="Z38" s="15">
        <v>3.0</v>
      </c>
      <c r="AA38" s="15">
        <v>3.0</v>
      </c>
      <c r="AB38" s="15">
        <v>1.0</v>
      </c>
      <c r="AC38" s="15">
        <v>3.0</v>
      </c>
      <c r="AD38" s="15">
        <v>4.0</v>
      </c>
      <c r="AE38" s="15">
        <v>2.0</v>
      </c>
      <c r="AF38" s="18">
        <f t="shared" si="4"/>
        <v>16</v>
      </c>
      <c r="AG38" s="15">
        <v>2.0</v>
      </c>
      <c r="AH38" s="15">
        <v>2.0</v>
      </c>
      <c r="AI38" s="15">
        <v>2.0</v>
      </c>
      <c r="AJ38" s="15">
        <v>2.0</v>
      </c>
      <c r="AK38" s="15">
        <v>2.0</v>
      </c>
      <c r="AL38" s="15">
        <v>2.0</v>
      </c>
      <c r="AM38" s="19">
        <f t="shared" si="5"/>
        <v>12</v>
      </c>
      <c r="AN38" s="15">
        <v>2.0</v>
      </c>
      <c r="AO38" s="15">
        <v>2.0</v>
      </c>
      <c r="AP38" s="15">
        <v>2.0</v>
      </c>
      <c r="AQ38" s="15">
        <v>2.0</v>
      </c>
      <c r="AR38" s="15">
        <v>2.0</v>
      </c>
      <c r="AS38" s="15">
        <v>2.0</v>
      </c>
      <c r="AT38" s="19">
        <f t="shared" si="6"/>
        <v>12</v>
      </c>
      <c r="AU38" s="15">
        <v>2.0</v>
      </c>
      <c r="AV38" s="15">
        <v>2.0</v>
      </c>
      <c r="AW38" s="15">
        <v>2.0</v>
      </c>
      <c r="AX38" s="15">
        <v>2.0</v>
      </c>
      <c r="AY38" s="15">
        <v>3.0</v>
      </c>
      <c r="AZ38" s="15">
        <v>3.0</v>
      </c>
      <c r="BA38" s="20">
        <f t="shared" si="7"/>
        <v>14</v>
      </c>
      <c r="BB38" s="15">
        <v>2.0</v>
      </c>
      <c r="BC38" s="15">
        <v>2.0</v>
      </c>
      <c r="BD38" s="15">
        <v>2.0</v>
      </c>
      <c r="BE38" s="15">
        <v>2.0</v>
      </c>
      <c r="BF38" s="15">
        <v>2.0</v>
      </c>
      <c r="BG38" s="15">
        <v>2.0</v>
      </c>
      <c r="BH38" s="21">
        <f t="shared" si="8"/>
        <v>12</v>
      </c>
      <c r="BI38" s="15">
        <v>2.0</v>
      </c>
      <c r="BJ38" s="15">
        <v>2.0</v>
      </c>
      <c r="BK38" s="15">
        <v>2.0</v>
      </c>
      <c r="BL38" s="15">
        <v>2.0</v>
      </c>
      <c r="BM38" s="15">
        <v>2.0</v>
      </c>
      <c r="BN38" s="15">
        <v>2.0</v>
      </c>
      <c r="BO38" s="21">
        <f t="shared" si="9"/>
        <v>12</v>
      </c>
      <c r="BP38" s="22">
        <v>5.0</v>
      </c>
      <c r="BQ38" s="15">
        <v>2.0</v>
      </c>
      <c r="BR38" s="15">
        <v>2.0</v>
      </c>
      <c r="BS38" s="15">
        <v>2.0</v>
      </c>
      <c r="BT38" s="15">
        <v>2.0</v>
      </c>
      <c r="BU38" s="15">
        <v>2.0</v>
      </c>
      <c r="BV38" s="15">
        <v>2.0</v>
      </c>
      <c r="BW38" s="15">
        <v>2.0</v>
      </c>
      <c r="BX38" s="15">
        <v>2.0</v>
      </c>
      <c r="BY38" s="15">
        <v>2.0</v>
      </c>
      <c r="BZ38" s="15">
        <v>2.0</v>
      </c>
      <c r="CA38" s="15">
        <v>2.0</v>
      </c>
      <c r="CB38" s="23">
        <f t="shared" si="10"/>
        <v>27</v>
      </c>
      <c r="CC38" s="24">
        <v>18.0</v>
      </c>
      <c r="CD38" s="18">
        <v>19.0</v>
      </c>
      <c r="CE38" s="18">
        <v>16.0</v>
      </c>
      <c r="CF38" s="19">
        <v>12.0</v>
      </c>
      <c r="CG38" s="19">
        <v>12.0</v>
      </c>
      <c r="CH38" s="20">
        <v>14.0</v>
      </c>
      <c r="CI38" s="25">
        <v>12.0</v>
      </c>
      <c r="CJ38" s="25">
        <v>12.0</v>
      </c>
      <c r="CK38" s="26" t="str">
        <f t="shared" si="11"/>
        <v>Interpersonal Intelligence
</v>
      </c>
      <c r="CL38" s="26"/>
    </row>
    <row r="39" ht="22.5" customHeight="1">
      <c r="A39" s="14">
        <v>46027.952607314815</v>
      </c>
      <c r="B39" s="15" t="s">
        <v>89</v>
      </c>
      <c r="C39" s="15" t="s">
        <v>90</v>
      </c>
      <c r="D39" s="15" t="s">
        <v>91</v>
      </c>
      <c r="E39" s="15" t="s">
        <v>108</v>
      </c>
      <c r="F39" s="16"/>
      <c r="G39" s="15">
        <v>3.0</v>
      </c>
      <c r="H39" s="15">
        <v>3.0</v>
      </c>
      <c r="I39" s="15">
        <v>3.0</v>
      </c>
      <c r="J39" s="15">
        <v>3.0</v>
      </c>
      <c r="K39" s="17">
        <f t="shared" si="1"/>
        <v>12</v>
      </c>
      <c r="L39" s="15">
        <v>4.0</v>
      </c>
      <c r="M39" s="15">
        <v>4.0</v>
      </c>
      <c r="N39" s="15">
        <v>3.0</v>
      </c>
      <c r="O39" s="15">
        <v>4.0</v>
      </c>
      <c r="P39" s="15">
        <v>3.0</v>
      </c>
      <c r="Q39" s="15">
        <v>4.0</v>
      </c>
      <c r="R39" s="18">
        <f t="shared" si="2"/>
        <v>22</v>
      </c>
      <c r="S39" s="15">
        <v>4.0</v>
      </c>
      <c r="T39" s="15">
        <v>3.0</v>
      </c>
      <c r="U39" s="15">
        <v>4.0</v>
      </c>
      <c r="V39" s="15">
        <v>4.0</v>
      </c>
      <c r="W39" s="15">
        <v>3.0</v>
      </c>
      <c r="X39" s="15">
        <v>3.0</v>
      </c>
      <c r="Y39" s="18">
        <f t="shared" si="3"/>
        <v>21</v>
      </c>
      <c r="Z39" s="15">
        <v>4.0</v>
      </c>
      <c r="AA39" s="15">
        <v>4.0</v>
      </c>
      <c r="AB39" s="15">
        <v>4.0</v>
      </c>
      <c r="AC39" s="15">
        <v>4.0</v>
      </c>
      <c r="AD39" s="15">
        <v>4.0</v>
      </c>
      <c r="AE39" s="15">
        <v>4.0</v>
      </c>
      <c r="AF39" s="18">
        <f t="shared" si="4"/>
        <v>24</v>
      </c>
      <c r="AG39" s="15">
        <v>3.0</v>
      </c>
      <c r="AH39" s="15">
        <v>3.0</v>
      </c>
      <c r="AI39" s="15">
        <v>3.0</v>
      </c>
      <c r="AJ39" s="15">
        <v>3.0</v>
      </c>
      <c r="AK39" s="15">
        <v>3.0</v>
      </c>
      <c r="AL39" s="15">
        <v>3.0</v>
      </c>
      <c r="AM39" s="19">
        <f t="shared" si="5"/>
        <v>18</v>
      </c>
      <c r="AN39" s="15">
        <v>5.0</v>
      </c>
      <c r="AO39" s="15">
        <v>4.0</v>
      </c>
      <c r="AP39" s="15">
        <v>4.0</v>
      </c>
      <c r="AQ39" s="15">
        <v>4.0</v>
      </c>
      <c r="AR39" s="15">
        <v>4.0</v>
      </c>
      <c r="AS39" s="15">
        <v>4.0</v>
      </c>
      <c r="AT39" s="19">
        <f t="shared" si="6"/>
        <v>25</v>
      </c>
      <c r="AU39" s="15">
        <v>4.0</v>
      </c>
      <c r="AV39" s="15">
        <v>3.0</v>
      </c>
      <c r="AW39" s="15">
        <v>3.0</v>
      </c>
      <c r="AX39" s="15">
        <v>3.0</v>
      </c>
      <c r="AY39" s="15">
        <v>3.0</v>
      </c>
      <c r="AZ39" s="15">
        <v>3.0</v>
      </c>
      <c r="BA39" s="20">
        <f t="shared" si="7"/>
        <v>19</v>
      </c>
      <c r="BB39" s="15">
        <v>3.0</v>
      </c>
      <c r="BC39" s="15">
        <v>4.0</v>
      </c>
      <c r="BD39" s="15">
        <v>3.0</v>
      </c>
      <c r="BE39" s="15">
        <v>4.0</v>
      </c>
      <c r="BF39" s="15">
        <v>4.0</v>
      </c>
      <c r="BG39" s="15">
        <v>4.0</v>
      </c>
      <c r="BH39" s="21">
        <f t="shared" si="8"/>
        <v>22</v>
      </c>
      <c r="BI39" s="15">
        <v>4.0</v>
      </c>
      <c r="BJ39" s="15">
        <v>3.0</v>
      </c>
      <c r="BK39" s="15">
        <v>4.0</v>
      </c>
      <c r="BL39" s="15">
        <v>3.0</v>
      </c>
      <c r="BM39" s="15">
        <v>3.0</v>
      </c>
      <c r="BN39" s="15">
        <v>3.0</v>
      </c>
      <c r="BO39" s="21">
        <f t="shared" si="9"/>
        <v>20</v>
      </c>
      <c r="BP39" s="22">
        <v>3.0</v>
      </c>
      <c r="BQ39" s="15">
        <v>3.0</v>
      </c>
      <c r="BR39" s="15">
        <v>3.0</v>
      </c>
      <c r="BS39" s="15">
        <v>3.0</v>
      </c>
      <c r="BT39" s="15">
        <v>3.0</v>
      </c>
      <c r="BU39" s="15">
        <v>3.0</v>
      </c>
      <c r="BV39" s="15">
        <v>3.0</v>
      </c>
      <c r="BW39" s="15">
        <v>3.0</v>
      </c>
      <c r="BX39" s="15">
        <v>3.0</v>
      </c>
      <c r="BY39" s="15">
        <v>3.0</v>
      </c>
      <c r="BZ39" s="15">
        <v>3.0</v>
      </c>
      <c r="CA39" s="15">
        <v>3.0</v>
      </c>
      <c r="CB39" s="23">
        <f t="shared" si="10"/>
        <v>36</v>
      </c>
      <c r="CC39" s="24">
        <v>22.0</v>
      </c>
      <c r="CD39" s="18">
        <v>21.0</v>
      </c>
      <c r="CE39" s="18">
        <v>24.0</v>
      </c>
      <c r="CF39" s="19">
        <v>18.0</v>
      </c>
      <c r="CG39" s="19">
        <v>25.0</v>
      </c>
      <c r="CH39" s="20">
        <v>19.0</v>
      </c>
      <c r="CI39" s="25">
        <v>22.0</v>
      </c>
      <c r="CJ39" s="25">
        <v>20.0</v>
      </c>
      <c r="CK39" s="26" t="str">
        <f t="shared" si="11"/>
        <v>Linguistic Intelligence</v>
      </c>
      <c r="CL39" s="26"/>
    </row>
    <row r="40" ht="22.5" customHeight="1">
      <c r="A40" s="14">
        <v>46028.31894670139</v>
      </c>
      <c r="B40" s="15" t="s">
        <v>89</v>
      </c>
      <c r="C40" s="15" t="s">
        <v>90</v>
      </c>
      <c r="D40" s="15" t="s">
        <v>91</v>
      </c>
      <c r="E40" s="15" t="s">
        <v>92</v>
      </c>
      <c r="F40" s="16"/>
      <c r="G40" s="15">
        <v>3.0</v>
      </c>
      <c r="H40" s="15">
        <v>4.0</v>
      </c>
      <c r="I40" s="15">
        <v>3.0</v>
      </c>
      <c r="J40" s="15">
        <v>3.0</v>
      </c>
      <c r="K40" s="17">
        <f t="shared" si="1"/>
        <v>13</v>
      </c>
      <c r="L40" s="15">
        <v>4.0</v>
      </c>
      <c r="M40" s="15">
        <v>5.0</v>
      </c>
      <c r="N40" s="15">
        <v>4.0</v>
      </c>
      <c r="O40" s="15">
        <v>4.0</v>
      </c>
      <c r="P40" s="15">
        <v>3.0</v>
      </c>
      <c r="Q40" s="15">
        <v>4.0</v>
      </c>
      <c r="R40" s="18">
        <f t="shared" si="2"/>
        <v>24</v>
      </c>
      <c r="S40" s="15">
        <v>4.0</v>
      </c>
      <c r="T40" s="15">
        <v>5.0</v>
      </c>
      <c r="U40" s="15">
        <v>4.0</v>
      </c>
      <c r="V40" s="15">
        <v>4.0</v>
      </c>
      <c r="W40" s="15">
        <v>4.0</v>
      </c>
      <c r="X40" s="15">
        <v>4.0</v>
      </c>
      <c r="Y40" s="18">
        <f t="shared" si="3"/>
        <v>25</v>
      </c>
      <c r="Z40" s="15">
        <v>5.0</v>
      </c>
      <c r="AA40" s="15">
        <v>4.0</v>
      </c>
      <c r="AB40" s="15">
        <v>5.0</v>
      </c>
      <c r="AC40" s="15">
        <v>4.0</v>
      </c>
      <c r="AD40" s="15">
        <v>3.0</v>
      </c>
      <c r="AE40" s="15">
        <v>3.0</v>
      </c>
      <c r="AF40" s="18">
        <f t="shared" si="4"/>
        <v>24</v>
      </c>
      <c r="AG40" s="15">
        <v>5.0</v>
      </c>
      <c r="AH40" s="15">
        <v>5.0</v>
      </c>
      <c r="AI40" s="15">
        <v>5.0</v>
      </c>
      <c r="AJ40" s="15">
        <v>5.0</v>
      </c>
      <c r="AK40" s="15">
        <v>5.0</v>
      </c>
      <c r="AL40" s="15">
        <v>5.0</v>
      </c>
      <c r="AM40" s="19">
        <f t="shared" si="5"/>
        <v>30</v>
      </c>
      <c r="AN40" s="15">
        <v>4.0</v>
      </c>
      <c r="AO40" s="15">
        <v>5.0</v>
      </c>
      <c r="AP40" s="15">
        <v>4.0</v>
      </c>
      <c r="AQ40" s="15">
        <v>4.0</v>
      </c>
      <c r="AR40" s="15">
        <v>5.0</v>
      </c>
      <c r="AS40" s="15">
        <v>4.0</v>
      </c>
      <c r="AT40" s="19">
        <f t="shared" si="6"/>
        <v>26</v>
      </c>
      <c r="AU40" s="15">
        <v>4.0</v>
      </c>
      <c r="AV40" s="15">
        <v>5.0</v>
      </c>
      <c r="AW40" s="15">
        <v>4.0</v>
      </c>
      <c r="AX40" s="15">
        <v>4.0</v>
      </c>
      <c r="AY40" s="15">
        <v>4.0</v>
      </c>
      <c r="AZ40" s="15">
        <v>4.0</v>
      </c>
      <c r="BA40" s="20">
        <f t="shared" si="7"/>
        <v>25</v>
      </c>
      <c r="BB40" s="15">
        <v>5.0</v>
      </c>
      <c r="BC40" s="15">
        <v>5.0</v>
      </c>
      <c r="BD40" s="15">
        <v>5.0</v>
      </c>
      <c r="BE40" s="15">
        <v>5.0</v>
      </c>
      <c r="BF40" s="15">
        <v>5.0</v>
      </c>
      <c r="BG40" s="15">
        <v>5.0</v>
      </c>
      <c r="BH40" s="21">
        <f t="shared" si="8"/>
        <v>30</v>
      </c>
      <c r="BI40" s="15">
        <v>4.0</v>
      </c>
      <c r="BJ40" s="15">
        <v>5.0</v>
      </c>
      <c r="BK40" s="15">
        <v>5.0</v>
      </c>
      <c r="BL40" s="15">
        <v>5.0</v>
      </c>
      <c r="BM40" s="15">
        <v>5.0</v>
      </c>
      <c r="BN40" s="15">
        <v>5.0</v>
      </c>
      <c r="BO40" s="21">
        <f t="shared" si="9"/>
        <v>29</v>
      </c>
      <c r="BP40" s="22">
        <v>5.0</v>
      </c>
      <c r="BQ40" s="15">
        <v>4.0</v>
      </c>
      <c r="BR40" s="15">
        <v>4.0</v>
      </c>
      <c r="BS40" s="15">
        <v>5.0</v>
      </c>
      <c r="BT40" s="15">
        <v>4.0</v>
      </c>
      <c r="BU40" s="15">
        <v>5.0</v>
      </c>
      <c r="BV40" s="15">
        <v>5.0</v>
      </c>
      <c r="BW40" s="15">
        <v>5.0</v>
      </c>
      <c r="BX40" s="15">
        <v>5.0</v>
      </c>
      <c r="BY40" s="15">
        <v>4.0</v>
      </c>
      <c r="BZ40" s="15">
        <v>5.0</v>
      </c>
      <c r="CA40" s="15">
        <v>5.0</v>
      </c>
      <c r="CB40" s="23">
        <f t="shared" si="10"/>
        <v>56</v>
      </c>
      <c r="CC40" s="24">
        <v>24.0</v>
      </c>
      <c r="CD40" s="18">
        <v>25.0</v>
      </c>
      <c r="CE40" s="18">
        <v>24.0</v>
      </c>
      <c r="CF40" s="19">
        <v>30.0</v>
      </c>
      <c r="CG40" s="19">
        <v>26.0</v>
      </c>
      <c r="CH40" s="20">
        <v>25.0</v>
      </c>
      <c r="CI40" s="25">
        <v>30.0</v>
      </c>
      <c r="CJ40" s="25">
        <v>29.0</v>
      </c>
      <c r="CK40" s="26" t="str">
        <f t="shared" si="11"/>
        <v>Bodily–Kinesthetic Intelligence</v>
      </c>
      <c r="CL40" s="26"/>
    </row>
    <row r="41" ht="22.5" customHeight="1">
      <c r="A41" s="14">
        <v>46028.463922442126</v>
      </c>
      <c r="B41" s="15" t="s">
        <v>89</v>
      </c>
      <c r="C41" s="15" t="s">
        <v>90</v>
      </c>
      <c r="D41" s="15" t="s">
        <v>91</v>
      </c>
      <c r="E41" s="15" t="s">
        <v>92</v>
      </c>
      <c r="F41" s="16"/>
      <c r="G41" s="15">
        <v>4.0</v>
      </c>
      <c r="H41" s="15">
        <v>4.0</v>
      </c>
      <c r="I41" s="15">
        <v>5.0</v>
      </c>
      <c r="J41" s="15">
        <v>4.0</v>
      </c>
      <c r="K41" s="17">
        <f t="shared" si="1"/>
        <v>17</v>
      </c>
      <c r="L41" s="15">
        <v>4.0</v>
      </c>
      <c r="M41" s="15">
        <v>5.0</v>
      </c>
      <c r="N41" s="15">
        <v>5.0</v>
      </c>
      <c r="O41" s="15">
        <v>4.0</v>
      </c>
      <c r="P41" s="15">
        <v>5.0</v>
      </c>
      <c r="Q41" s="15">
        <v>5.0</v>
      </c>
      <c r="R41" s="18">
        <f t="shared" si="2"/>
        <v>28</v>
      </c>
      <c r="S41" s="15">
        <v>4.0</v>
      </c>
      <c r="T41" s="15">
        <v>5.0</v>
      </c>
      <c r="U41" s="15">
        <v>5.0</v>
      </c>
      <c r="V41" s="15">
        <v>5.0</v>
      </c>
      <c r="W41" s="15">
        <v>4.0</v>
      </c>
      <c r="X41" s="15">
        <v>5.0</v>
      </c>
      <c r="Y41" s="18">
        <f t="shared" si="3"/>
        <v>28</v>
      </c>
      <c r="Z41" s="15">
        <v>5.0</v>
      </c>
      <c r="AA41" s="15">
        <v>4.0</v>
      </c>
      <c r="AB41" s="15">
        <v>5.0</v>
      </c>
      <c r="AC41" s="15">
        <v>5.0</v>
      </c>
      <c r="AD41" s="15">
        <v>5.0</v>
      </c>
      <c r="AE41" s="15">
        <v>5.0</v>
      </c>
      <c r="AF41" s="18">
        <f t="shared" si="4"/>
        <v>29</v>
      </c>
      <c r="AG41" s="15">
        <v>4.0</v>
      </c>
      <c r="AH41" s="15">
        <v>5.0</v>
      </c>
      <c r="AI41" s="15">
        <v>5.0</v>
      </c>
      <c r="AJ41" s="15">
        <v>5.0</v>
      </c>
      <c r="AK41" s="15">
        <v>5.0</v>
      </c>
      <c r="AL41" s="15">
        <v>5.0</v>
      </c>
      <c r="AM41" s="19">
        <f t="shared" si="5"/>
        <v>29</v>
      </c>
      <c r="AN41" s="15">
        <v>4.0</v>
      </c>
      <c r="AO41" s="15">
        <v>5.0</v>
      </c>
      <c r="AP41" s="15">
        <v>4.0</v>
      </c>
      <c r="AQ41" s="15">
        <v>5.0</v>
      </c>
      <c r="AR41" s="15">
        <v>5.0</v>
      </c>
      <c r="AS41" s="15">
        <v>5.0</v>
      </c>
      <c r="AT41" s="19">
        <f t="shared" si="6"/>
        <v>28</v>
      </c>
      <c r="AU41" s="15">
        <v>5.0</v>
      </c>
      <c r="AV41" s="15">
        <v>5.0</v>
      </c>
      <c r="AW41" s="15">
        <v>5.0</v>
      </c>
      <c r="AX41" s="15">
        <v>5.0</v>
      </c>
      <c r="AY41" s="15">
        <v>5.0</v>
      </c>
      <c r="AZ41" s="15">
        <v>5.0</v>
      </c>
      <c r="BA41" s="20">
        <f t="shared" si="7"/>
        <v>30</v>
      </c>
      <c r="BB41" s="15">
        <v>4.0</v>
      </c>
      <c r="BC41" s="15">
        <v>5.0</v>
      </c>
      <c r="BD41" s="15">
        <v>5.0</v>
      </c>
      <c r="BE41" s="15">
        <v>4.0</v>
      </c>
      <c r="BF41" s="15">
        <v>5.0</v>
      </c>
      <c r="BG41" s="15">
        <v>5.0</v>
      </c>
      <c r="BH41" s="21">
        <f t="shared" si="8"/>
        <v>28</v>
      </c>
      <c r="BI41" s="15">
        <v>5.0</v>
      </c>
      <c r="BJ41" s="15">
        <v>5.0</v>
      </c>
      <c r="BK41" s="15">
        <v>5.0</v>
      </c>
      <c r="BL41" s="15">
        <v>5.0</v>
      </c>
      <c r="BM41" s="15">
        <v>5.0</v>
      </c>
      <c r="BN41" s="15">
        <v>5.0</v>
      </c>
      <c r="BO41" s="21">
        <f t="shared" si="9"/>
        <v>30</v>
      </c>
      <c r="BP41" s="22">
        <v>5.0</v>
      </c>
      <c r="BQ41" s="15">
        <v>5.0</v>
      </c>
      <c r="BR41" s="15">
        <v>5.0</v>
      </c>
      <c r="BS41" s="15">
        <v>5.0</v>
      </c>
      <c r="BT41" s="15">
        <v>5.0</v>
      </c>
      <c r="BU41" s="15">
        <v>5.0</v>
      </c>
      <c r="BV41" s="15">
        <v>5.0</v>
      </c>
      <c r="BW41" s="15">
        <v>5.0</v>
      </c>
      <c r="BX41" s="15">
        <v>5.0</v>
      </c>
      <c r="BY41" s="15">
        <v>5.0</v>
      </c>
      <c r="BZ41" s="15">
        <v>5.0</v>
      </c>
      <c r="CA41" s="15">
        <v>5.0</v>
      </c>
      <c r="CB41" s="23">
        <f t="shared" si="10"/>
        <v>60</v>
      </c>
      <c r="CC41" s="24">
        <v>28.0</v>
      </c>
      <c r="CD41" s="18">
        <v>28.0</v>
      </c>
      <c r="CE41" s="18">
        <v>29.0</v>
      </c>
      <c r="CF41" s="19">
        <v>29.0</v>
      </c>
      <c r="CG41" s="19">
        <v>28.0</v>
      </c>
      <c r="CH41" s="20">
        <v>30.0</v>
      </c>
      <c r="CI41" s="25">
        <v>28.0</v>
      </c>
      <c r="CJ41" s="25">
        <v>30.0</v>
      </c>
      <c r="CK41" s="26" t="str">
        <f t="shared" si="11"/>
        <v>Naturalistic Intelligence
</v>
      </c>
      <c r="CL41" s="26"/>
    </row>
    <row r="42" ht="22.5" customHeight="1">
      <c r="A42" s="14">
        <v>46028.73324640046</v>
      </c>
      <c r="B42" s="15" t="s">
        <v>89</v>
      </c>
      <c r="C42" s="15" t="s">
        <v>90</v>
      </c>
      <c r="D42" s="15" t="s">
        <v>91</v>
      </c>
      <c r="E42" s="15" t="s">
        <v>92</v>
      </c>
      <c r="F42" s="16" t="s">
        <v>109</v>
      </c>
      <c r="G42" s="15">
        <v>4.0</v>
      </c>
      <c r="H42" s="15">
        <v>4.0</v>
      </c>
      <c r="I42" s="15">
        <v>4.0</v>
      </c>
      <c r="J42" s="15">
        <v>4.0</v>
      </c>
      <c r="K42" s="17">
        <f t="shared" si="1"/>
        <v>16</v>
      </c>
      <c r="L42" s="15">
        <v>4.0</v>
      </c>
      <c r="M42" s="15">
        <v>5.0</v>
      </c>
      <c r="N42" s="15">
        <v>5.0</v>
      </c>
      <c r="O42" s="15">
        <v>5.0</v>
      </c>
      <c r="P42" s="15">
        <v>5.0</v>
      </c>
      <c r="Q42" s="15">
        <v>5.0</v>
      </c>
      <c r="R42" s="18">
        <f t="shared" si="2"/>
        <v>29</v>
      </c>
      <c r="S42" s="15">
        <v>5.0</v>
      </c>
      <c r="T42" s="15">
        <v>5.0</v>
      </c>
      <c r="U42" s="15">
        <v>5.0</v>
      </c>
      <c r="V42" s="15">
        <v>5.0</v>
      </c>
      <c r="W42" s="15">
        <v>5.0</v>
      </c>
      <c r="X42" s="15">
        <v>5.0</v>
      </c>
      <c r="Y42" s="18">
        <f t="shared" si="3"/>
        <v>30</v>
      </c>
      <c r="Z42" s="15">
        <v>5.0</v>
      </c>
      <c r="AA42" s="15">
        <v>5.0</v>
      </c>
      <c r="AB42" s="15">
        <v>5.0</v>
      </c>
      <c r="AC42" s="15">
        <v>5.0</v>
      </c>
      <c r="AD42" s="15">
        <v>5.0</v>
      </c>
      <c r="AE42" s="15">
        <v>5.0</v>
      </c>
      <c r="AF42" s="18">
        <f t="shared" si="4"/>
        <v>30</v>
      </c>
      <c r="AG42" s="15">
        <v>5.0</v>
      </c>
      <c r="AH42" s="15">
        <v>5.0</v>
      </c>
      <c r="AI42" s="15">
        <v>5.0</v>
      </c>
      <c r="AJ42" s="15">
        <v>5.0</v>
      </c>
      <c r="AK42" s="15">
        <v>5.0</v>
      </c>
      <c r="AL42" s="15">
        <v>5.0</v>
      </c>
      <c r="AM42" s="19">
        <f t="shared" si="5"/>
        <v>30</v>
      </c>
      <c r="AN42" s="15">
        <v>5.0</v>
      </c>
      <c r="AO42" s="15">
        <v>5.0</v>
      </c>
      <c r="AP42" s="15">
        <v>5.0</v>
      </c>
      <c r="AQ42" s="15">
        <v>5.0</v>
      </c>
      <c r="AR42" s="15">
        <v>5.0</v>
      </c>
      <c r="AS42" s="15">
        <v>5.0</v>
      </c>
      <c r="AT42" s="19">
        <f t="shared" si="6"/>
        <v>30</v>
      </c>
      <c r="AU42" s="15">
        <v>5.0</v>
      </c>
      <c r="AV42" s="15">
        <v>5.0</v>
      </c>
      <c r="AW42" s="15">
        <v>5.0</v>
      </c>
      <c r="AX42" s="15">
        <v>5.0</v>
      </c>
      <c r="AY42" s="15">
        <v>5.0</v>
      </c>
      <c r="AZ42" s="15">
        <v>5.0</v>
      </c>
      <c r="BA42" s="20">
        <f t="shared" si="7"/>
        <v>30</v>
      </c>
      <c r="BB42" s="15">
        <v>5.0</v>
      </c>
      <c r="BC42" s="15">
        <v>5.0</v>
      </c>
      <c r="BD42" s="15">
        <v>5.0</v>
      </c>
      <c r="BE42" s="15">
        <v>5.0</v>
      </c>
      <c r="BF42" s="15">
        <v>5.0</v>
      </c>
      <c r="BG42" s="15">
        <v>5.0</v>
      </c>
      <c r="BH42" s="21">
        <f t="shared" si="8"/>
        <v>30</v>
      </c>
      <c r="BI42" s="15">
        <v>5.0</v>
      </c>
      <c r="BJ42" s="15">
        <v>5.0</v>
      </c>
      <c r="BK42" s="15">
        <v>5.0</v>
      </c>
      <c r="BL42" s="15">
        <v>5.0</v>
      </c>
      <c r="BM42" s="15">
        <v>5.0</v>
      </c>
      <c r="BN42" s="15">
        <v>5.0</v>
      </c>
      <c r="BO42" s="21">
        <f t="shared" si="9"/>
        <v>30</v>
      </c>
      <c r="BP42" s="22">
        <v>5.0</v>
      </c>
      <c r="BQ42" s="15">
        <v>5.0</v>
      </c>
      <c r="BR42" s="15">
        <v>5.0</v>
      </c>
      <c r="BS42" s="15">
        <v>5.0</v>
      </c>
      <c r="BT42" s="15">
        <v>5.0</v>
      </c>
      <c r="BU42" s="15">
        <v>5.0</v>
      </c>
      <c r="BV42" s="15">
        <v>5.0</v>
      </c>
      <c r="BW42" s="15">
        <v>5.0</v>
      </c>
      <c r="BX42" s="15">
        <v>5.0</v>
      </c>
      <c r="BY42" s="15">
        <v>5.0</v>
      </c>
      <c r="BZ42" s="15">
        <v>5.0</v>
      </c>
      <c r="CA42" s="15">
        <v>5.0</v>
      </c>
      <c r="CB42" s="23">
        <f t="shared" si="10"/>
        <v>60</v>
      </c>
      <c r="CC42" s="24">
        <v>29.0</v>
      </c>
      <c r="CD42" s="18">
        <v>30.0</v>
      </c>
      <c r="CE42" s="18">
        <v>30.0</v>
      </c>
      <c r="CF42" s="19">
        <v>30.0</v>
      </c>
      <c r="CG42" s="19">
        <v>30.0</v>
      </c>
      <c r="CH42" s="20">
        <v>30.0</v>
      </c>
      <c r="CI42" s="25">
        <v>30.0</v>
      </c>
      <c r="CJ42" s="25">
        <v>30.0</v>
      </c>
      <c r="CK42" s="26" t="str">
        <f t="shared" si="11"/>
        <v>Interpersonal Intelligence
</v>
      </c>
      <c r="CL42" s="26"/>
    </row>
    <row r="43" ht="22.5" customHeight="1">
      <c r="A43" s="14">
        <v>46029.76945040509</v>
      </c>
      <c r="B43" s="15" t="s">
        <v>89</v>
      </c>
      <c r="C43" s="15" t="s">
        <v>90</v>
      </c>
      <c r="D43" s="15" t="s">
        <v>91</v>
      </c>
      <c r="E43" s="15" t="s">
        <v>92</v>
      </c>
      <c r="F43" s="16" t="s">
        <v>110</v>
      </c>
      <c r="G43" s="15">
        <v>4.0</v>
      </c>
      <c r="H43" s="15">
        <v>4.0</v>
      </c>
      <c r="I43" s="15">
        <v>4.0</v>
      </c>
      <c r="J43" s="15">
        <v>4.0</v>
      </c>
      <c r="K43" s="17">
        <f t="shared" si="1"/>
        <v>16</v>
      </c>
      <c r="L43" s="15">
        <v>4.0</v>
      </c>
      <c r="M43" s="15">
        <v>4.0</v>
      </c>
      <c r="N43" s="15">
        <v>3.0</v>
      </c>
      <c r="O43" s="15">
        <v>3.0</v>
      </c>
      <c r="P43" s="15">
        <v>3.0</v>
      </c>
      <c r="Q43" s="15">
        <v>4.0</v>
      </c>
      <c r="R43" s="18">
        <f t="shared" si="2"/>
        <v>21</v>
      </c>
      <c r="S43" s="15">
        <v>4.0</v>
      </c>
      <c r="T43" s="15">
        <v>4.0</v>
      </c>
      <c r="U43" s="15">
        <v>5.0</v>
      </c>
      <c r="V43" s="15">
        <v>5.0</v>
      </c>
      <c r="W43" s="15">
        <v>5.0</v>
      </c>
      <c r="X43" s="15">
        <v>4.0</v>
      </c>
      <c r="Y43" s="18">
        <f t="shared" si="3"/>
        <v>27</v>
      </c>
      <c r="Z43" s="15">
        <v>4.0</v>
      </c>
      <c r="AA43" s="15">
        <v>4.0</v>
      </c>
      <c r="AB43" s="15">
        <v>4.0</v>
      </c>
      <c r="AC43" s="15">
        <v>5.0</v>
      </c>
      <c r="AD43" s="15">
        <v>4.0</v>
      </c>
      <c r="AE43" s="15">
        <v>4.0</v>
      </c>
      <c r="AF43" s="18">
        <f t="shared" si="4"/>
        <v>25</v>
      </c>
      <c r="AG43" s="15">
        <v>3.0</v>
      </c>
      <c r="AH43" s="15">
        <v>4.0</v>
      </c>
      <c r="AI43" s="15">
        <v>5.0</v>
      </c>
      <c r="AJ43" s="15">
        <v>4.0</v>
      </c>
      <c r="AK43" s="15">
        <v>5.0</v>
      </c>
      <c r="AL43" s="15">
        <v>5.0</v>
      </c>
      <c r="AM43" s="19">
        <f t="shared" si="5"/>
        <v>26</v>
      </c>
      <c r="AN43" s="15">
        <v>4.0</v>
      </c>
      <c r="AO43" s="15">
        <v>5.0</v>
      </c>
      <c r="AP43" s="15">
        <v>5.0</v>
      </c>
      <c r="AQ43" s="15">
        <v>4.0</v>
      </c>
      <c r="AR43" s="15">
        <v>4.0</v>
      </c>
      <c r="AS43" s="15">
        <v>4.0</v>
      </c>
      <c r="AT43" s="19">
        <f t="shared" si="6"/>
        <v>26</v>
      </c>
      <c r="AU43" s="15">
        <v>5.0</v>
      </c>
      <c r="AV43" s="15">
        <v>4.0</v>
      </c>
      <c r="AW43" s="15">
        <v>4.0</v>
      </c>
      <c r="AX43" s="15">
        <v>5.0</v>
      </c>
      <c r="AY43" s="15">
        <v>4.0</v>
      </c>
      <c r="AZ43" s="15">
        <v>5.0</v>
      </c>
      <c r="BA43" s="20">
        <f t="shared" si="7"/>
        <v>27</v>
      </c>
      <c r="BB43" s="15">
        <v>4.0</v>
      </c>
      <c r="BC43" s="15">
        <v>4.0</v>
      </c>
      <c r="BD43" s="15">
        <v>5.0</v>
      </c>
      <c r="BE43" s="15">
        <v>5.0</v>
      </c>
      <c r="BF43" s="15">
        <v>4.0</v>
      </c>
      <c r="BG43" s="15">
        <v>4.0</v>
      </c>
      <c r="BH43" s="21">
        <f t="shared" si="8"/>
        <v>26</v>
      </c>
      <c r="BI43" s="15">
        <v>5.0</v>
      </c>
      <c r="BJ43" s="15">
        <v>4.0</v>
      </c>
      <c r="BK43" s="15">
        <v>5.0</v>
      </c>
      <c r="BL43" s="15">
        <v>4.0</v>
      </c>
      <c r="BM43" s="15">
        <v>4.0</v>
      </c>
      <c r="BN43" s="15">
        <v>5.0</v>
      </c>
      <c r="BO43" s="21">
        <f t="shared" si="9"/>
        <v>27</v>
      </c>
      <c r="BP43" s="22">
        <v>5.0</v>
      </c>
      <c r="BQ43" s="15">
        <v>4.0</v>
      </c>
      <c r="BR43" s="15">
        <v>4.0</v>
      </c>
      <c r="BS43" s="15">
        <v>4.0</v>
      </c>
      <c r="BT43" s="15">
        <v>4.0</v>
      </c>
      <c r="BU43" s="15">
        <v>4.0</v>
      </c>
      <c r="BV43" s="15">
        <v>4.0</v>
      </c>
      <c r="BW43" s="15">
        <v>4.0</v>
      </c>
      <c r="BX43" s="15">
        <v>4.0</v>
      </c>
      <c r="BY43" s="15">
        <v>4.0</v>
      </c>
      <c r="BZ43" s="15">
        <v>4.0</v>
      </c>
      <c r="CA43" s="15">
        <v>4.0</v>
      </c>
      <c r="CB43" s="23">
        <f t="shared" si="10"/>
        <v>49</v>
      </c>
      <c r="CC43" s="24">
        <v>21.0</v>
      </c>
      <c r="CD43" s="18">
        <v>27.0</v>
      </c>
      <c r="CE43" s="18">
        <v>25.0</v>
      </c>
      <c r="CF43" s="19">
        <v>26.0</v>
      </c>
      <c r="CG43" s="19">
        <v>26.0</v>
      </c>
      <c r="CH43" s="20">
        <v>27.0</v>
      </c>
      <c r="CI43" s="25">
        <v>26.0</v>
      </c>
      <c r="CJ43" s="25">
        <v>27.0</v>
      </c>
      <c r="CK43" s="26" t="str">
        <f t="shared" si="11"/>
        <v>Interpersonal Intelligence
</v>
      </c>
      <c r="CL43" s="26"/>
    </row>
    <row r="44" ht="22.5" customHeight="1">
      <c r="A44" s="14">
        <v>46034.44980072917</v>
      </c>
      <c r="B44" s="15" t="s">
        <v>89</v>
      </c>
      <c r="C44" s="15" t="s">
        <v>90</v>
      </c>
      <c r="D44" s="15" t="s">
        <v>111</v>
      </c>
      <c r="E44" s="15" t="s">
        <v>92</v>
      </c>
      <c r="F44" s="16"/>
      <c r="G44" s="15">
        <v>3.0</v>
      </c>
      <c r="H44" s="15">
        <v>5.0</v>
      </c>
      <c r="I44" s="15">
        <v>5.0</v>
      </c>
      <c r="J44" s="15">
        <v>4.0</v>
      </c>
      <c r="K44" s="17">
        <f t="shared" si="1"/>
        <v>17</v>
      </c>
      <c r="L44" s="15">
        <v>4.0</v>
      </c>
      <c r="M44" s="15">
        <v>3.0</v>
      </c>
      <c r="N44" s="15">
        <v>3.0</v>
      </c>
      <c r="O44" s="15">
        <v>3.0</v>
      </c>
      <c r="P44" s="15">
        <v>3.0</v>
      </c>
      <c r="Q44" s="15">
        <v>4.0</v>
      </c>
      <c r="R44" s="18">
        <f t="shared" si="2"/>
        <v>20</v>
      </c>
      <c r="S44" s="15">
        <v>4.0</v>
      </c>
      <c r="T44" s="15">
        <v>3.0</v>
      </c>
      <c r="U44" s="15">
        <v>5.0</v>
      </c>
      <c r="V44" s="15">
        <v>5.0</v>
      </c>
      <c r="W44" s="15">
        <v>5.0</v>
      </c>
      <c r="X44" s="15">
        <v>3.0</v>
      </c>
      <c r="Y44" s="18">
        <f t="shared" si="3"/>
        <v>25</v>
      </c>
      <c r="Z44" s="15">
        <v>4.0</v>
      </c>
      <c r="AA44" s="15">
        <v>4.0</v>
      </c>
      <c r="AB44" s="15">
        <v>4.0</v>
      </c>
      <c r="AC44" s="15">
        <v>4.0</v>
      </c>
      <c r="AD44" s="15">
        <v>4.0</v>
      </c>
      <c r="AE44" s="15">
        <v>4.0</v>
      </c>
      <c r="AF44" s="18">
        <f t="shared" si="4"/>
        <v>24</v>
      </c>
      <c r="AG44" s="15">
        <v>4.0</v>
      </c>
      <c r="AH44" s="15">
        <v>1.0</v>
      </c>
      <c r="AI44" s="15">
        <v>1.0</v>
      </c>
      <c r="AJ44" s="15">
        <v>3.0</v>
      </c>
      <c r="AK44" s="15">
        <v>1.0</v>
      </c>
      <c r="AL44" s="15">
        <v>5.0</v>
      </c>
      <c r="AM44" s="19">
        <f t="shared" si="5"/>
        <v>15</v>
      </c>
      <c r="AN44" s="15">
        <v>3.0</v>
      </c>
      <c r="AO44" s="15">
        <v>4.0</v>
      </c>
      <c r="AP44" s="15">
        <v>5.0</v>
      </c>
      <c r="AQ44" s="15">
        <v>5.0</v>
      </c>
      <c r="AR44" s="15">
        <v>5.0</v>
      </c>
      <c r="AS44" s="15">
        <v>5.0</v>
      </c>
      <c r="AT44" s="19">
        <f t="shared" si="6"/>
        <v>27</v>
      </c>
      <c r="AU44" s="15">
        <v>3.0</v>
      </c>
      <c r="AV44" s="15">
        <v>2.0</v>
      </c>
      <c r="AW44" s="15">
        <v>1.0</v>
      </c>
      <c r="AX44" s="15">
        <v>2.0</v>
      </c>
      <c r="AY44" s="15">
        <v>2.0</v>
      </c>
      <c r="AZ44" s="15">
        <v>1.0</v>
      </c>
      <c r="BA44" s="20">
        <f t="shared" si="7"/>
        <v>11</v>
      </c>
      <c r="BB44" s="15">
        <v>1.0</v>
      </c>
      <c r="BC44" s="15">
        <v>2.0</v>
      </c>
      <c r="BD44" s="15">
        <v>1.0</v>
      </c>
      <c r="BE44" s="15">
        <v>5.0</v>
      </c>
      <c r="BF44" s="15">
        <v>1.0</v>
      </c>
      <c r="BG44" s="15">
        <v>1.0</v>
      </c>
      <c r="BH44" s="21">
        <f t="shared" si="8"/>
        <v>11</v>
      </c>
      <c r="BI44" s="15">
        <v>5.0</v>
      </c>
      <c r="BJ44" s="15">
        <v>5.0</v>
      </c>
      <c r="BK44" s="15">
        <v>5.0</v>
      </c>
      <c r="BL44" s="15">
        <v>5.0</v>
      </c>
      <c r="BM44" s="15">
        <v>5.0</v>
      </c>
      <c r="BN44" s="15">
        <v>3.0</v>
      </c>
      <c r="BO44" s="21">
        <f t="shared" si="9"/>
        <v>28</v>
      </c>
      <c r="BP44" s="22">
        <v>4.0</v>
      </c>
      <c r="BQ44" s="15">
        <v>5.0</v>
      </c>
      <c r="BR44" s="15">
        <v>3.0</v>
      </c>
      <c r="BS44" s="15">
        <v>3.0</v>
      </c>
      <c r="BT44" s="15">
        <v>3.0</v>
      </c>
      <c r="BU44" s="15">
        <v>3.0</v>
      </c>
      <c r="BV44" s="15">
        <v>2.0</v>
      </c>
      <c r="BW44" s="15">
        <v>4.0</v>
      </c>
      <c r="BX44" s="15">
        <v>3.0</v>
      </c>
      <c r="BY44" s="15">
        <v>3.0</v>
      </c>
      <c r="BZ44" s="15">
        <v>3.0</v>
      </c>
      <c r="CA44" s="15">
        <v>3.0</v>
      </c>
      <c r="CB44" s="23">
        <f t="shared" si="10"/>
        <v>39</v>
      </c>
      <c r="CC44" s="24">
        <v>20.0</v>
      </c>
      <c r="CD44" s="18">
        <v>25.0</v>
      </c>
      <c r="CE44" s="18">
        <v>24.0</v>
      </c>
      <c r="CF44" s="19">
        <v>15.0</v>
      </c>
      <c r="CG44" s="19">
        <v>27.0</v>
      </c>
      <c r="CH44" s="20">
        <v>11.0</v>
      </c>
      <c r="CI44" s="25">
        <v>11.0</v>
      </c>
      <c r="CJ44" s="25">
        <v>28.0</v>
      </c>
      <c r="CK44" s="26" t="str">
        <f t="shared" si="11"/>
        <v>Musical Intelligence</v>
      </c>
      <c r="CL44" s="26"/>
    </row>
    <row r="45" ht="22.5" customHeight="1">
      <c r="A45" s="14">
        <v>46034.46045924768</v>
      </c>
      <c r="B45" s="15" t="s">
        <v>89</v>
      </c>
      <c r="C45" s="15" t="s">
        <v>90</v>
      </c>
      <c r="D45" s="15" t="s">
        <v>111</v>
      </c>
      <c r="E45" s="15" t="s">
        <v>97</v>
      </c>
      <c r="F45" s="16"/>
      <c r="G45" s="15">
        <v>3.0</v>
      </c>
      <c r="H45" s="15">
        <v>3.0</v>
      </c>
      <c r="I45" s="15">
        <v>3.0</v>
      </c>
      <c r="J45" s="15">
        <v>3.0</v>
      </c>
      <c r="K45" s="17">
        <f t="shared" si="1"/>
        <v>12</v>
      </c>
      <c r="L45" s="15">
        <v>4.0</v>
      </c>
      <c r="M45" s="15">
        <v>4.0</v>
      </c>
      <c r="N45" s="15">
        <v>3.0</v>
      </c>
      <c r="O45" s="15">
        <v>4.0</v>
      </c>
      <c r="P45" s="15">
        <v>3.0</v>
      </c>
      <c r="Q45" s="15">
        <v>4.0</v>
      </c>
      <c r="R45" s="18">
        <f t="shared" si="2"/>
        <v>22</v>
      </c>
      <c r="S45" s="15">
        <v>3.0</v>
      </c>
      <c r="T45" s="15">
        <v>3.0</v>
      </c>
      <c r="U45" s="15">
        <v>4.0</v>
      </c>
      <c r="V45" s="15">
        <v>4.0</v>
      </c>
      <c r="W45" s="15">
        <v>4.0</v>
      </c>
      <c r="X45" s="15">
        <v>3.0</v>
      </c>
      <c r="Y45" s="18">
        <f t="shared" si="3"/>
        <v>21</v>
      </c>
      <c r="Z45" s="15">
        <v>3.0</v>
      </c>
      <c r="AA45" s="15">
        <v>3.0</v>
      </c>
      <c r="AB45" s="15">
        <v>3.0</v>
      </c>
      <c r="AC45" s="15">
        <v>3.0</v>
      </c>
      <c r="AD45" s="15">
        <v>3.0</v>
      </c>
      <c r="AE45" s="15">
        <v>3.0</v>
      </c>
      <c r="AF45" s="18">
        <f t="shared" si="4"/>
        <v>18</v>
      </c>
      <c r="AG45" s="15">
        <v>2.0</v>
      </c>
      <c r="AH45" s="15">
        <v>3.0</v>
      </c>
      <c r="AI45" s="15">
        <v>2.0</v>
      </c>
      <c r="AJ45" s="15">
        <v>4.0</v>
      </c>
      <c r="AK45" s="15">
        <v>3.0</v>
      </c>
      <c r="AL45" s="15">
        <v>3.0</v>
      </c>
      <c r="AM45" s="19">
        <f t="shared" si="5"/>
        <v>17</v>
      </c>
      <c r="AN45" s="15">
        <v>4.0</v>
      </c>
      <c r="AO45" s="15">
        <v>4.0</v>
      </c>
      <c r="AP45" s="15">
        <v>3.0</v>
      </c>
      <c r="AQ45" s="15">
        <v>3.0</v>
      </c>
      <c r="AR45" s="15">
        <v>3.0</v>
      </c>
      <c r="AS45" s="15">
        <v>3.0</v>
      </c>
      <c r="AT45" s="19">
        <f t="shared" si="6"/>
        <v>20</v>
      </c>
      <c r="AU45" s="15">
        <v>3.0</v>
      </c>
      <c r="AV45" s="15">
        <v>3.0</v>
      </c>
      <c r="AW45" s="15">
        <v>3.0</v>
      </c>
      <c r="AX45" s="15">
        <v>3.0</v>
      </c>
      <c r="AY45" s="15">
        <v>3.0</v>
      </c>
      <c r="AZ45" s="15">
        <v>3.0</v>
      </c>
      <c r="BA45" s="20">
        <f t="shared" si="7"/>
        <v>18</v>
      </c>
      <c r="BB45" s="15">
        <v>3.0</v>
      </c>
      <c r="BC45" s="15">
        <v>4.0</v>
      </c>
      <c r="BD45" s="15">
        <v>3.0</v>
      </c>
      <c r="BE45" s="15">
        <v>4.0</v>
      </c>
      <c r="BF45" s="15">
        <v>3.0</v>
      </c>
      <c r="BG45" s="15">
        <v>4.0</v>
      </c>
      <c r="BH45" s="21">
        <f t="shared" si="8"/>
        <v>21</v>
      </c>
      <c r="BI45" s="15">
        <v>3.0</v>
      </c>
      <c r="BJ45" s="15">
        <v>3.0</v>
      </c>
      <c r="BK45" s="15">
        <v>3.0</v>
      </c>
      <c r="BL45" s="15">
        <v>3.0</v>
      </c>
      <c r="BM45" s="15">
        <v>3.0</v>
      </c>
      <c r="BN45" s="15">
        <v>3.0</v>
      </c>
      <c r="BO45" s="21">
        <f t="shared" si="9"/>
        <v>18</v>
      </c>
      <c r="BP45" s="22">
        <v>3.0</v>
      </c>
      <c r="BQ45" s="15">
        <v>4.0</v>
      </c>
      <c r="BR45" s="15">
        <v>4.0</v>
      </c>
      <c r="BS45" s="15">
        <v>4.0</v>
      </c>
      <c r="BT45" s="15">
        <v>4.0</v>
      </c>
      <c r="BU45" s="15">
        <v>4.0</v>
      </c>
      <c r="BV45" s="15">
        <v>4.0</v>
      </c>
      <c r="BW45" s="15">
        <v>4.0</v>
      </c>
      <c r="BX45" s="15">
        <v>4.0</v>
      </c>
      <c r="BY45" s="15">
        <v>4.0</v>
      </c>
      <c r="BZ45" s="15">
        <v>4.0</v>
      </c>
      <c r="CA45" s="15">
        <v>4.0</v>
      </c>
      <c r="CB45" s="23">
        <f t="shared" si="10"/>
        <v>47</v>
      </c>
      <c r="CC45" s="24">
        <v>22.0</v>
      </c>
      <c r="CD45" s="18">
        <v>21.0</v>
      </c>
      <c r="CE45" s="18">
        <v>18.0</v>
      </c>
      <c r="CF45" s="19">
        <v>17.0</v>
      </c>
      <c r="CG45" s="19">
        <v>20.0</v>
      </c>
      <c r="CH45" s="20">
        <v>18.0</v>
      </c>
      <c r="CI45" s="25">
        <v>21.0</v>
      </c>
      <c r="CJ45" s="25">
        <v>18.0</v>
      </c>
      <c r="CK45" s="26" t="str">
        <f t="shared" si="11"/>
        <v>Intrapersonal Intelligence</v>
      </c>
      <c r="CL45" s="26"/>
    </row>
    <row r="46" ht="22.5" customHeight="1">
      <c r="A46" s="14">
        <v>46034.464354861106</v>
      </c>
      <c r="B46" s="15" t="s">
        <v>89</v>
      </c>
      <c r="C46" s="15" t="s">
        <v>90</v>
      </c>
      <c r="D46" s="15" t="s">
        <v>111</v>
      </c>
      <c r="E46" s="15" t="s">
        <v>97</v>
      </c>
      <c r="F46" s="16"/>
      <c r="G46" s="15">
        <v>4.0</v>
      </c>
      <c r="H46" s="15">
        <v>5.0</v>
      </c>
      <c r="I46" s="15">
        <v>4.0</v>
      </c>
      <c r="J46" s="15">
        <v>4.0</v>
      </c>
      <c r="K46" s="17">
        <f t="shared" si="1"/>
        <v>17</v>
      </c>
      <c r="L46" s="15">
        <v>3.0</v>
      </c>
      <c r="M46" s="15">
        <v>4.0</v>
      </c>
      <c r="N46" s="15">
        <v>5.0</v>
      </c>
      <c r="O46" s="15">
        <v>4.0</v>
      </c>
      <c r="P46" s="15">
        <v>3.0</v>
      </c>
      <c r="Q46" s="15">
        <v>4.0</v>
      </c>
      <c r="R46" s="18">
        <f t="shared" si="2"/>
        <v>23</v>
      </c>
      <c r="S46" s="15">
        <v>2.0</v>
      </c>
      <c r="T46" s="15">
        <v>2.0</v>
      </c>
      <c r="U46" s="15">
        <v>3.0</v>
      </c>
      <c r="V46" s="15">
        <v>3.0</v>
      </c>
      <c r="W46" s="15">
        <v>4.0</v>
      </c>
      <c r="X46" s="15">
        <v>4.0</v>
      </c>
      <c r="Y46" s="18">
        <f t="shared" si="3"/>
        <v>18</v>
      </c>
      <c r="Z46" s="15">
        <v>3.0</v>
      </c>
      <c r="AA46" s="15">
        <v>2.0</v>
      </c>
      <c r="AB46" s="15">
        <v>3.0</v>
      </c>
      <c r="AC46" s="15">
        <v>4.0</v>
      </c>
      <c r="AD46" s="15">
        <v>3.0</v>
      </c>
      <c r="AE46" s="15">
        <v>4.0</v>
      </c>
      <c r="AF46" s="18">
        <f t="shared" si="4"/>
        <v>19</v>
      </c>
      <c r="AG46" s="15">
        <v>3.0</v>
      </c>
      <c r="AH46" s="15">
        <v>2.0</v>
      </c>
      <c r="AI46" s="15">
        <v>3.0</v>
      </c>
      <c r="AJ46" s="15">
        <v>2.0</v>
      </c>
      <c r="AK46" s="15">
        <v>4.0</v>
      </c>
      <c r="AL46" s="15">
        <v>2.0</v>
      </c>
      <c r="AM46" s="19">
        <f t="shared" si="5"/>
        <v>16</v>
      </c>
      <c r="AN46" s="15">
        <v>3.0</v>
      </c>
      <c r="AO46" s="15">
        <v>4.0</v>
      </c>
      <c r="AP46" s="15">
        <v>2.0</v>
      </c>
      <c r="AQ46" s="15">
        <v>3.0</v>
      </c>
      <c r="AR46" s="15">
        <v>3.0</v>
      </c>
      <c r="AS46" s="15">
        <v>3.0</v>
      </c>
      <c r="AT46" s="19">
        <f t="shared" si="6"/>
        <v>18</v>
      </c>
      <c r="AU46" s="15">
        <v>1.0</v>
      </c>
      <c r="AV46" s="15">
        <v>3.0</v>
      </c>
      <c r="AW46" s="15">
        <v>2.0</v>
      </c>
      <c r="AX46" s="15">
        <v>1.0</v>
      </c>
      <c r="AY46" s="15">
        <v>4.0</v>
      </c>
      <c r="AZ46" s="15">
        <v>4.0</v>
      </c>
      <c r="BA46" s="20">
        <f t="shared" si="7"/>
        <v>15</v>
      </c>
      <c r="BB46" s="15">
        <v>5.0</v>
      </c>
      <c r="BC46" s="15">
        <v>4.0</v>
      </c>
      <c r="BD46" s="15">
        <v>4.0</v>
      </c>
      <c r="BE46" s="15">
        <v>5.0</v>
      </c>
      <c r="BF46" s="15">
        <v>3.0</v>
      </c>
      <c r="BG46" s="15">
        <v>4.0</v>
      </c>
      <c r="BH46" s="21">
        <f t="shared" si="8"/>
        <v>25</v>
      </c>
      <c r="BI46" s="15">
        <v>4.0</v>
      </c>
      <c r="BJ46" s="15">
        <v>5.0</v>
      </c>
      <c r="BK46" s="15">
        <v>4.0</v>
      </c>
      <c r="BL46" s="15">
        <v>4.0</v>
      </c>
      <c r="BM46" s="15">
        <v>4.0</v>
      </c>
      <c r="BN46" s="15">
        <v>3.0</v>
      </c>
      <c r="BO46" s="21">
        <f t="shared" si="9"/>
        <v>24</v>
      </c>
      <c r="BP46" s="22">
        <v>3.0</v>
      </c>
      <c r="BQ46" s="15">
        <v>4.0</v>
      </c>
      <c r="BR46" s="15">
        <v>4.0</v>
      </c>
      <c r="BS46" s="15">
        <v>4.0</v>
      </c>
      <c r="BT46" s="15">
        <v>3.0</v>
      </c>
      <c r="BU46" s="15">
        <v>4.0</v>
      </c>
      <c r="BV46" s="15">
        <v>4.0</v>
      </c>
      <c r="BW46" s="15">
        <v>4.0</v>
      </c>
      <c r="BX46" s="15">
        <v>4.0</v>
      </c>
      <c r="BY46" s="15">
        <v>4.0</v>
      </c>
      <c r="BZ46" s="15">
        <v>3.0</v>
      </c>
      <c r="CA46" s="15">
        <v>4.0</v>
      </c>
      <c r="CB46" s="23">
        <f t="shared" si="10"/>
        <v>45</v>
      </c>
      <c r="CC46" s="24">
        <v>23.0</v>
      </c>
      <c r="CD46" s="18">
        <v>18.0</v>
      </c>
      <c r="CE46" s="18">
        <v>19.0</v>
      </c>
      <c r="CF46" s="19">
        <v>16.0</v>
      </c>
      <c r="CG46" s="19">
        <v>18.0</v>
      </c>
      <c r="CH46" s="20">
        <v>15.0</v>
      </c>
      <c r="CI46" s="25">
        <v>25.0</v>
      </c>
      <c r="CJ46" s="25">
        <v>24.0</v>
      </c>
      <c r="CK46" s="26" t="str">
        <f t="shared" si="11"/>
        <v>Visual–Spatial Intelligence
</v>
      </c>
      <c r="CL46" s="26"/>
    </row>
    <row r="47" ht="22.5" customHeight="1">
      <c r="A47" s="14">
        <v>46034.4754094213</v>
      </c>
      <c r="B47" s="15" t="s">
        <v>89</v>
      </c>
      <c r="C47" s="15" t="s">
        <v>90</v>
      </c>
      <c r="D47" s="15" t="s">
        <v>111</v>
      </c>
      <c r="E47" s="15" t="s">
        <v>97</v>
      </c>
      <c r="F47" s="16"/>
      <c r="G47" s="15">
        <v>3.0</v>
      </c>
      <c r="H47" s="15">
        <v>3.0</v>
      </c>
      <c r="I47" s="15">
        <v>3.0</v>
      </c>
      <c r="J47" s="15">
        <v>3.0</v>
      </c>
      <c r="K47" s="17">
        <f t="shared" si="1"/>
        <v>12</v>
      </c>
      <c r="L47" s="15">
        <v>4.0</v>
      </c>
      <c r="M47" s="15">
        <v>4.0</v>
      </c>
      <c r="N47" s="15">
        <v>4.0</v>
      </c>
      <c r="O47" s="15">
        <v>4.0</v>
      </c>
      <c r="P47" s="15">
        <v>4.0</v>
      </c>
      <c r="Q47" s="15">
        <v>4.0</v>
      </c>
      <c r="R47" s="18">
        <f t="shared" si="2"/>
        <v>24</v>
      </c>
      <c r="S47" s="15">
        <v>3.0</v>
      </c>
      <c r="T47" s="15">
        <v>3.0</v>
      </c>
      <c r="U47" s="15">
        <v>3.0</v>
      </c>
      <c r="V47" s="15">
        <v>3.0</v>
      </c>
      <c r="W47" s="15">
        <v>3.0</v>
      </c>
      <c r="X47" s="15">
        <v>3.0</v>
      </c>
      <c r="Y47" s="18">
        <f t="shared" si="3"/>
        <v>18</v>
      </c>
      <c r="Z47" s="15">
        <v>4.0</v>
      </c>
      <c r="AA47" s="15">
        <v>4.0</v>
      </c>
      <c r="AB47" s="15">
        <v>4.0</v>
      </c>
      <c r="AC47" s="15">
        <v>4.0</v>
      </c>
      <c r="AD47" s="15">
        <v>4.0</v>
      </c>
      <c r="AE47" s="15">
        <v>4.0</v>
      </c>
      <c r="AF47" s="18">
        <f t="shared" si="4"/>
        <v>24</v>
      </c>
      <c r="AG47" s="15">
        <v>3.0</v>
      </c>
      <c r="AH47" s="15">
        <v>3.0</v>
      </c>
      <c r="AI47" s="15">
        <v>3.0</v>
      </c>
      <c r="AJ47" s="15">
        <v>3.0</v>
      </c>
      <c r="AK47" s="15">
        <v>3.0</v>
      </c>
      <c r="AL47" s="15">
        <v>3.0</v>
      </c>
      <c r="AM47" s="19">
        <f t="shared" si="5"/>
        <v>18</v>
      </c>
      <c r="AN47" s="15">
        <v>3.0</v>
      </c>
      <c r="AO47" s="15">
        <v>3.0</v>
      </c>
      <c r="AP47" s="15">
        <v>3.0</v>
      </c>
      <c r="AQ47" s="15">
        <v>3.0</v>
      </c>
      <c r="AR47" s="15">
        <v>3.0</v>
      </c>
      <c r="AS47" s="15">
        <v>3.0</v>
      </c>
      <c r="AT47" s="19">
        <f t="shared" si="6"/>
        <v>18</v>
      </c>
      <c r="AU47" s="15">
        <v>4.0</v>
      </c>
      <c r="AV47" s="15">
        <v>4.0</v>
      </c>
      <c r="AW47" s="15">
        <v>4.0</v>
      </c>
      <c r="AX47" s="15">
        <v>4.0</v>
      </c>
      <c r="AY47" s="15">
        <v>4.0</v>
      </c>
      <c r="AZ47" s="15">
        <v>4.0</v>
      </c>
      <c r="BA47" s="20">
        <f t="shared" si="7"/>
        <v>24</v>
      </c>
      <c r="BB47" s="15">
        <v>3.0</v>
      </c>
      <c r="BC47" s="15">
        <v>3.0</v>
      </c>
      <c r="BD47" s="15">
        <v>3.0</v>
      </c>
      <c r="BE47" s="15">
        <v>3.0</v>
      </c>
      <c r="BF47" s="15">
        <v>3.0</v>
      </c>
      <c r="BG47" s="15">
        <v>3.0</v>
      </c>
      <c r="BH47" s="21">
        <f t="shared" si="8"/>
        <v>18</v>
      </c>
      <c r="BI47" s="15">
        <v>3.0</v>
      </c>
      <c r="BJ47" s="15">
        <v>3.0</v>
      </c>
      <c r="BK47" s="15">
        <v>3.0</v>
      </c>
      <c r="BL47" s="15">
        <v>3.0</v>
      </c>
      <c r="BM47" s="15">
        <v>3.0</v>
      </c>
      <c r="BN47" s="15">
        <v>3.0</v>
      </c>
      <c r="BO47" s="21">
        <f t="shared" si="9"/>
        <v>18</v>
      </c>
      <c r="BP47" s="22">
        <v>3.0</v>
      </c>
      <c r="BQ47" s="15">
        <v>3.0</v>
      </c>
      <c r="BR47" s="15">
        <v>3.0</v>
      </c>
      <c r="BS47" s="15">
        <v>3.0</v>
      </c>
      <c r="BT47" s="15">
        <v>3.0</v>
      </c>
      <c r="BU47" s="15">
        <v>3.0</v>
      </c>
      <c r="BV47" s="15">
        <v>3.0</v>
      </c>
      <c r="BW47" s="15">
        <v>3.0</v>
      </c>
      <c r="BX47" s="15">
        <v>3.0</v>
      </c>
      <c r="BY47" s="15">
        <v>3.0</v>
      </c>
      <c r="BZ47" s="15">
        <v>3.0</v>
      </c>
      <c r="CA47" s="15">
        <v>3.0</v>
      </c>
      <c r="CB47" s="23">
        <f t="shared" si="10"/>
        <v>36</v>
      </c>
      <c r="CC47" s="24">
        <v>24.0</v>
      </c>
      <c r="CD47" s="18">
        <v>18.0</v>
      </c>
      <c r="CE47" s="18">
        <v>24.0</v>
      </c>
      <c r="CF47" s="19">
        <v>18.0</v>
      </c>
      <c r="CG47" s="19">
        <v>18.0</v>
      </c>
      <c r="CH47" s="20">
        <v>24.0</v>
      </c>
      <c r="CI47" s="25">
        <v>18.0</v>
      </c>
      <c r="CJ47" s="25">
        <v>18.0</v>
      </c>
      <c r="CK47" s="26" t="str">
        <f t="shared" si="11"/>
        <v>Intrapersonal Intelligence</v>
      </c>
      <c r="CL47" s="26"/>
    </row>
    <row r="48" ht="22.5" customHeight="1">
      <c r="A48" s="14">
        <v>46034.47802177083</v>
      </c>
      <c r="B48" s="15" t="s">
        <v>89</v>
      </c>
      <c r="C48" s="15" t="s">
        <v>90</v>
      </c>
      <c r="D48" s="15" t="s">
        <v>111</v>
      </c>
      <c r="E48" s="15" t="s">
        <v>92</v>
      </c>
      <c r="F48" s="16"/>
      <c r="G48" s="15">
        <v>4.0</v>
      </c>
      <c r="H48" s="15">
        <v>4.0</v>
      </c>
      <c r="I48" s="15">
        <v>4.0</v>
      </c>
      <c r="J48" s="15">
        <v>4.0</v>
      </c>
      <c r="K48" s="17">
        <f t="shared" si="1"/>
        <v>16</v>
      </c>
      <c r="L48" s="15">
        <v>4.0</v>
      </c>
      <c r="M48" s="15">
        <v>3.0</v>
      </c>
      <c r="N48" s="15">
        <v>4.0</v>
      </c>
      <c r="O48" s="15">
        <v>2.0</v>
      </c>
      <c r="P48" s="15">
        <v>3.0</v>
      </c>
      <c r="Q48" s="15">
        <v>3.0</v>
      </c>
      <c r="R48" s="18">
        <f t="shared" si="2"/>
        <v>19</v>
      </c>
      <c r="S48" s="15">
        <v>5.0</v>
      </c>
      <c r="T48" s="15">
        <v>4.0</v>
      </c>
      <c r="U48" s="15">
        <v>3.0</v>
      </c>
      <c r="V48" s="15">
        <v>4.0</v>
      </c>
      <c r="W48" s="15">
        <v>5.0</v>
      </c>
      <c r="X48" s="15">
        <v>5.0</v>
      </c>
      <c r="Y48" s="18">
        <f t="shared" si="3"/>
        <v>26</v>
      </c>
      <c r="Z48" s="15">
        <v>1.0</v>
      </c>
      <c r="AA48" s="15">
        <v>2.0</v>
      </c>
      <c r="AB48" s="15">
        <v>2.0</v>
      </c>
      <c r="AC48" s="15">
        <v>3.0</v>
      </c>
      <c r="AD48" s="15">
        <v>1.0</v>
      </c>
      <c r="AE48" s="15">
        <v>3.0</v>
      </c>
      <c r="AF48" s="18">
        <f t="shared" si="4"/>
        <v>12</v>
      </c>
      <c r="AG48" s="15">
        <v>4.0</v>
      </c>
      <c r="AH48" s="15">
        <v>5.0</v>
      </c>
      <c r="AI48" s="15">
        <v>4.0</v>
      </c>
      <c r="AJ48" s="15">
        <v>5.0</v>
      </c>
      <c r="AK48" s="15">
        <v>3.0</v>
      </c>
      <c r="AL48" s="15">
        <v>4.0</v>
      </c>
      <c r="AM48" s="19">
        <f t="shared" si="5"/>
        <v>25</v>
      </c>
      <c r="AN48" s="15">
        <v>4.0</v>
      </c>
      <c r="AO48" s="15">
        <v>3.0</v>
      </c>
      <c r="AP48" s="15">
        <v>2.0</v>
      </c>
      <c r="AQ48" s="15">
        <v>3.0</v>
      </c>
      <c r="AR48" s="15">
        <v>3.0</v>
      </c>
      <c r="AS48" s="15">
        <v>5.0</v>
      </c>
      <c r="AT48" s="19">
        <f t="shared" si="6"/>
        <v>20</v>
      </c>
      <c r="AU48" s="15">
        <v>3.0</v>
      </c>
      <c r="AV48" s="15">
        <v>3.0</v>
      </c>
      <c r="AW48" s="15">
        <v>2.0</v>
      </c>
      <c r="AX48" s="15">
        <v>4.0</v>
      </c>
      <c r="AY48" s="15">
        <v>4.0</v>
      </c>
      <c r="AZ48" s="15">
        <v>4.0</v>
      </c>
      <c r="BA48" s="20">
        <f t="shared" si="7"/>
        <v>20</v>
      </c>
      <c r="BB48" s="15">
        <v>4.0</v>
      </c>
      <c r="BC48" s="15">
        <v>2.0</v>
      </c>
      <c r="BD48" s="15">
        <v>5.0</v>
      </c>
      <c r="BE48" s="15">
        <v>4.0</v>
      </c>
      <c r="BF48" s="15">
        <v>3.0</v>
      </c>
      <c r="BG48" s="15">
        <v>5.0</v>
      </c>
      <c r="BH48" s="21">
        <f t="shared" si="8"/>
        <v>23</v>
      </c>
      <c r="BI48" s="15">
        <v>4.0</v>
      </c>
      <c r="BJ48" s="15">
        <v>4.0</v>
      </c>
      <c r="BK48" s="15">
        <v>5.0</v>
      </c>
      <c r="BL48" s="15">
        <v>5.0</v>
      </c>
      <c r="BM48" s="15">
        <v>4.0</v>
      </c>
      <c r="BN48" s="15">
        <v>2.0</v>
      </c>
      <c r="BO48" s="21">
        <f t="shared" si="9"/>
        <v>24</v>
      </c>
      <c r="BP48" s="22">
        <v>4.0</v>
      </c>
      <c r="BQ48" s="15">
        <v>3.0</v>
      </c>
      <c r="BR48" s="15">
        <v>3.0</v>
      </c>
      <c r="BS48" s="15">
        <v>4.0</v>
      </c>
      <c r="BT48" s="15">
        <v>3.0</v>
      </c>
      <c r="BU48" s="15">
        <v>4.0</v>
      </c>
      <c r="BV48" s="15">
        <v>4.0</v>
      </c>
      <c r="BW48" s="15">
        <v>4.0</v>
      </c>
      <c r="BX48" s="15">
        <v>4.0</v>
      </c>
      <c r="BY48" s="15">
        <v>2.0</v>
      </c>
      <c r="BZ48" s="15">
        <v>4.0</v>
      </c>
      <c r="CA48" s="15">
        <v>4.0</v>
      </c>
      <c r="CB48" s="23">
        <f t="shared" si="10"/>
        <v>43</v>
      </c>
      <c r="CC48" s="24">
        <v>19.0</v>
      </c>
      <c r="CD48" s="18">
        <v>26.0</v>
      </c>
      <c r="CE48" s="18">
        <v>12.0</v>
      </c>
      <c r="CF48" s="19">
        <v>25.0</v>
      </c>
      <c r="CG48" s="19">
        <v>20.0</v>
      </c>
      <c r="CH48" s="20">
        <v>20.0</v>
      </c>
      <c r="CI48" s="25">
        <v>23.0</v>
      </c>
      <c r="CJ48" s="25">
        <v>24.0</v>
      </c>
      <c r="CK48" s="26" t="str">
        <f t="shared" si="11"/>
        <v>Interpersonal Intelligence
</v>
      </c>
      <c r="CL48" s="26"/>
    </row>
    <row r="49" ht="22.5" customHeight="1">
      <c r="A49" s="14">
        <v>46034.48445429398</v>
      </c>
      <c r="B49" s="15" t="s">
        <v>89</v>
      </c>
      <c r="C49" s="15" t="s">
        <v>90</v>
      </c>
      <c r="D49" s="15" t="s">
        <v>111</v>
      </c>
      <c r="E49" s="15" t="s">
        <v>92</v>
      </c>
      <c r="F49" s="16" t="s">
        <v>112</v>
      </c>
      <c r="G49" s="15">
        <v>5.0</v>
      </c>
      <c r="H49" s="15">
        <v>5.0</v>
      </c>
      <c r="I49" s="15">
        <v>2.0</v>
      </c>
      <c r="J49" s="15">
        <v>5.0</v>
      </c>
      <c r="K49" s="17">
        <f t="shared" si="1"/>
        <v>17</v>
      </c>
      <c r="L49" s="15">
        <v>4.0</v>
      </c>
      <c r="M49" s="15">
        <v>3.0</v>
      </c>
      <c r="N49" s="15">
        <v>5.0</v>
      </c>
      <c r="O49" s="15">
        <v>4.0</v>
      </c>
      <c r="P49" s="15">
        <v>4.0</v>
      </c>
      <c r="Q49" s="15">
        <v>4.0</v>
      </c>
      <c r="R49" s="18">
        <f t="shared" si="2"/>
        <v>24</v>
      </c>
      <c r="S49" s="15">
        <v>4.0</v>
      </c>
      <c r="T49" s="15">
        <v>2.0</v>
      </c>
      <c r="U49" s="15">
        <v>2.0</v>
      </c>
      <c r="V49" s="15">
        <v>2.0</v>
      </c>
      <c r="W49" s="15">
        <v>2.0</v>
      </c>
      <c r="X49" s="15">
        <v>4.0</v>
      </c>
      <c r="Y49" s="18">
        <f t="shared" si="3"/>
        <v>16</v>
      </c>
      <c r="Z49" s="15">
        <v>3.0</v>
      </c>
      <c r="AA49" s="15">
        <v>2.0</v>
      </c>
      <c r="AB49" s="15">
        <v>5.0</v>
      </c>
      <c r="AC49" s="15">
        <v>3.0</v>
      </c>
      <c r="AD49" s="15">
        <v>3.0</v>
      </c>
      <c r="AE49" s="15">
        <v>4.0</v>
      </c>
      <c r="AF49" s="18">
        <f t="shared" si="4"/>
        <v>20</v>
      </c>
      <c r="AG49" s="15">
        <v>2.0</v>
      </c>
      <c r="AH49" s="15">
        <v>2.0</v>
      </c>
      <c r="AI49" s="15">
        <v>2.0</v>
      </c>
      <c r="AJ49" s="15">
        <v>2.0</v>
      </c>
      <c r="AK49" s="15">
        <v>3.0</v>
      </c>
      <c r="AL49" s="15">
        <v>3.0</v>
      </c>
      <c r="AM49" s="19">
        <f t="shared" si="5"/>
        <v>14</v>
      </c>
      <c r="AN49" s="15">
        <v>3.0</v>
      </c>
      <c r="AO49" s="15">
        <v>3.0</v>
      </c>
      <c r="AP49" s="15">
        <v>3.0</v>
      </c>
      <c r="AQ49" s="15">
        <v>2.0</v>
      </c>
      <c r="AR49" s="15">
        <v>3.0</v>
      </c>
      <c r="AS49" s="15">
        <v>2.0</v>
      </c>
      <c r="AT49" s="19">
        <f t="shared" si="6"/>
        <v>16</v>
      </c>
      <c r="AU49" s="15">
        <v>2.0</v>
      </c>
      <c r="AV49" s="15">
        <v>4.0</v>
      </c>
      <c r="AW49" s="15">
        <v>2.0</v>
      </c>
      <c r="AX49" s="15">
        <v>2.0</v>
      </c>
      <c r="AY49" s="15">
        <v>2.0</v>
      </c>
      <c r="AZ49" s="15">
        <v>2.0</v>
      </c>
      <c r="BA49" s="20">
        <f t="shared" si="7"/>
        <v>14</v>
      </c>
      <c r="BB49" s="15">
        <v>2.0</v>
      </c>
      <c r="BC49" s="15">
        <v>2.0</v>
      </c>
      <c r="BD49" s="15">
        <v>4.0</v>
      </c>
      <c r="BE49" s="15">
        <v>2.0</v>
      </c>
      <c r="BF49" s="15">
        <v>2.0</v>
      </c>
      <c r="BG49" s="15">
        <v>5.0</v>
      </c>
      <c r="BH49" s="21">
        <f t="shared" si="8"/>
        <v>17</v>
      </c>
      <c r="BI49" s="15">
        <v>2.0</v>
      </c>
      <c r="BJ49" s="15">
        <v>5.0</v>
      </c>
      <c r="BK49" s="15">
        <v>3.0</v>
      </c>
      <c r="BL49" s="15">
        <v>3.0</v>
      </c>
      <c r="BM49" s="15">
        <v>5.0</v>
      </c>
      <c r="BN49" s="15">
        <v>2.0</v>
      </c>
      <c r="BO49" s="21">
        <f t="shared" si="9"/>
        <v>20</v>
      </c>
      <c r="BP49" s="22">
        <v>5.0</v>
      </c>
      <c r="BQ49" s="15">
        <v>5.0</v>
      </c>
      <c r="BR49" s="15">
        <v>4.0</v>
      </c>
      <c r="BS49" s="15">
        <v>5.0</v>
      </c>
      <c r="BT49" s="15">
        <v>3.0</v>
      </c>
      <c r="BU49" s="15">
        <v>3.0</v>
      </c>
      <c r="BV49" s="15">
        <v>4.0</v>
      </c>
      <c r="BW49" s="15">
        <v>4.0</v>
      </c>
      <c r="BX49" s="15">
        <v>4.0</v>
      </c>
      <c r="BY49" s="15">
        <v>5.0</v>
      </c>
      <c r="BZ49" s="15">
        <v>3.0</v>
      </c>
      <c r="CA49" s="15">
        <v>3.0</v>
      </c>
      <c r="CB49" s="23">
        <f t="shared" si="10"/>
        <v>48</v>
      </c>
      <c r="CC49" s="24">
        <v>24.0</v>
      </c>
      <c r="CD49" s="18">
        <v>16.0</v>
      </c>
      <c r="CE49" s="18">
        <v>20.0</v>
      </c>
      <c r="CF49" s="19">
        <v>14.0</v>
      </c>
      <c r="CG49" s="19">
        <v>16.0</v>
      </c>
      <c r="CH49" s="20">
        <v>14.0</v>
      </c>
      <c r="CI49" s="25">
        <v>17.0</v>
      </c>
      <c r="CJ49" s="25">
        <v>20.0</v>
      </c>
      <c r="CK49" s="26" t="str">
        <f t="shared" si="11"/>
        <v>Intrapersonal Intelligence</v>
      </c>
      <c r="CL49" s="26"/>
    </row>
    <row r="50" ht="22.5" customHeight="1">
      <c r="A50" s="14">
        <v>46034.49014903935</v>
      </c>
      <c r="B50" s="15" t="s">
        <v>89</v>
      </c>
      <c r="C50" s="15" t="s">
        <v>90</v>
      </c>
      <c r="D50" s="15" t="s">
        <v>111</v>
      </c>
      <c r="E50" s="15" t="s">
        <v>92</v>
      </c>
      <c r="F50" s="16"/>
      <c r="G50" s="15">
        <v>3.0</v>
      </c>
      <c r="H50" s="15">
        <v>4.0</v>
      </c>
      <c r="I50" s="15">
        <v>3.0</v>
      </c>
      <c r="J50" s="15">
        <v>3.0</v>
      </c>
      <c r="K50" s="17">
        <f t="shared" si="1"/>
        <v>13</v>
      </c>
      <c r="L50" s="15">
        <v>2.0</v>
      </c>
      <c r="M50" s="15">
        <v>3.0</v>
      </c>
      <c r="N50" s="15">
        <v>4.0</v>
      </c>
      <c r="O50" s="15">
        <v>3.0</v>
      </c>
      <c r="P50" s="15">
        <v>3.0</v>
      </c>
      <c r="Q50" s="15">
        <v>4.0</v>
      </c>
      <c r="R50" s="18">
        <f t="shared" si="2"/>
        <v>19</v>
      </c>
      <c r="S50" s="15">
        <v>4.0</v>
      </c>
      <c r="T50" s="15">
        <v>3.0</v>
      </c>
      <c r="U50" s="15">
        <v>2.0</v>
      </c>
      <c r="V50" s="15">
        <v>3.0</v>
      </c>
      <c r="W50" s="15">
        <v>2.0</v>
      </c>
      <c r="X50" s="15">
        <v>4.0</v>
      </c>
      <c r="Y50" s="18">
        <f t="shared" si="3"/>
        <v>18</v>
      </c>
      <c r="Z50" s="15">
        <v>2.0</v>
      </c>
      <c r="AA50" s="15">
        <v>2.0</v>
      </c>
      <c r="AB50" s="15">
        <v>3.0</v>
      </c>
      <c r="AC50" s="15">
        <v>3.0</v>
      </c>
      <c r="AD50" s="15">
        <v>3.0</v>
      </c>
      <c r="AE50" s="15">
        <v>3.0</v>
      </c>
      <c r="AF50" s="18">
        <f t="shared" si="4"/>
        <v>16</v>
      </c>
      <c r="AG50" s="15">
        <v>2.0</v>
      </c>
      <c r="AH50" s="15">
        <v>2.0</v>
      </c>
      <c r="AI50" s="15">
        <v>2.0</v>
      </c>
      <c r="AJ50" s="15">
        <v>3.0</v>
      </c>
      <c r="AK50" s="15">
        <v>4.0</v>
      </c>
      <c r="AL50" s="15">
        <v>3.0</v>
      </c>
      <c r="AM50" s="19">
        <f t="shared" si="5"/>
        <v>16</v>
      </c>
      <c r="AN50" s="15">
        <v>3.0</v>
      </c>
      <c r="AO50" s="15">
        <v>3.0</v>
      </c>
      <c r="AP50" s="15">
        <v>4.0</v>
      </c>
      <c r="AQ50" s="15">
        <v>2.0</v>
      </c>
      <c r="AR50" s="15">
        <v>4.0</v>
      </c>
      <c r="AS50" s="15">
        <v>2.0</v>
      </c>
      <c r="AT50" s="19">
        <f t="shared" si="6"/>
        <v>18</v>
      </c>
      <c r="AU50" s="15">
        <v>4.0</v>
      </c>
      <c r="AV50" s="15">
        <v>3.0</v>
      </c>
      <c r="AW50" s="15">
        <v>2.0</v>
      </c>
      <c r="AX50" s="15">
        <v>2.0</v>
      </c>
      <c r="AY50" s="15">
        <v>3.0</v>
      </c>
      <c r="AZ50" s="15">
        <v>3.0</v>
      </c>
      <c r="BA50" s="20">
        <f t="shared" si="7"/>
        <v>17</v>
      </c>
      <c r="BB50" s="15">
        <v>3.0</v>
      </c>
      <c r="BC50" s="15">
        <v>2.0</v>
      </c>
      <c r="BD50" s="15">
        <v>3.0</v>
      </c>
      <c r="BE50" s="15">
        <v>4.0</v>
      </c>
      <c r="BF50" s="15">
        <v>3.0</v>
      </c>
      <c r="BG50" s="15">
        <v>4.0</v>
      </c>
      <c r="BH50" s="21">
        <f t="shared" si="8"/>
        <v>19</v>
      </c>
      <c r="BI50" s="15">
        <v>1.0</v>
      </c>
      <c r="BJ50" s="15">
        <v>5.0</v>
      </c>
      <c r="BK50" s="15">
        <v>1.0</v>
      </c>
      <c r="BL50" s="15">
        <v>3.0</v>
      </c>
      <c r="BM50" s="15">
        <v>3.0</v>
      </c>
      <c r="BN50" s="15">
        <v>3.0</v>
      </c>
      <c r="BO50" s="21">
        <f t="shared" si="9"/>
        <v>16</v>
      </c>
      <c r="BP50" s="22">
        <v>3.0</v>
      </c>
      <c r="BQ50" s="15">
        <v>3.0</v>
      </c>
      <c r="BR50" s="15">
        <v>4.0</v>
      </c>
      <c r="BS50" s="15">
        <v>3.0</v>
      </c>
      <c r="BT50" s="15">
        <v>3.0</v>
      </c>
      <c r="BU50" s="15">
        <v>3.0</v>
      </c>
      <c r="BV50" s="15">
        <v>3.0</v>
      </c>
      <c r="BW50" s="15">
        <v>3.0</v>
      </c>
      <c r="BX50" s="15">
        <v>3.0</v>
      </c>
      <c r="BY50" s="15">
        <v>3.0</v>
      </c>
      <c r="BZ50" s="15">
        <v>3.0</v>
      </c>
      <c r="CA50" s="15">
        <v>3.0</v>
      </c>
      <c r="CB50" s="23">
        <f t="shared" si="10"/>
        <v>37</v>
      </c>
      <c r="CC50" s="24">
        <v>19.0</v>
      </c>
      <c r="CD50" s="18">
        <v>18.0</v>
      </c>
      <c r="CE50" s="18">
        <v>16.0</v>
      </c>
      <c r="CF50" s="19">
        <v>16.0</v>
      </c>
      <c r="CG50" s="19">
        <v>18.0</v>
      </c>
      <c r="CH50" s="20">
        <v>17.0</v>
      </c>
      <c r="CI50" s="25">
        <v>19.0</v>
      </c>
      <c r="CJ50" s="25">
        <v>16.0</v>
      </c>
      <c r="CK50" s="26" t="str">
        <f t="shared" si="11"/>
        <v>Intrapersonal Intelligence</v>
      </c>
      <c r="CL50" s="26"/>
    </row>
    <row r="51" ht="22.5" customHeight="1">
      <c r="A51" s="14">
        <v>46034.50412041666</v>
      </c>
      <c r="B51" s="15" t="s">
        <v>89</v>
      </c>
      <c r="C51" s="15" t="s">
        <v>90</v>
      </c>
      <c r="D51" s="15" t="s">
        <v>111</v>
      </c>
      <c r="E51" s="15" t="s">
        <v>97</v>
      </c>
      <c r="F51" s="16"/>
      <c r="G51" s="15">
        <v>4.0</v>
      </c>
      <c r="H51" s="15">
        <v>4.0</v>
      </c>
      <c r="I51" s="15">
        <v>4.0</v>
      </c>
      <c r="J51" s="15">
        <v>4.0</v>
      </c>
      <c r="K51" s="17">
        <f t="shared" si="1"/>
        <v>16</v>
      </c>
      <c r="L51" s="15">
        <v>4.0</v>
      </c>
      <c r="M51" s="15">
        <v>5.0</v>
      </c>
      <c r="N51" s="15">
        <v>5.0</v>
      </c>
      <c r="O51" s="15">
        <v>3.0</v>
      </c>
      <c r="P51" s="15">
        <v>4.0</v>
      </c>
      <c r="Q51" s="15">
        <v>5.0</v>
      </c>
      <c r="R51" s="18">
        <f t="shared" si="2"/>
        <v>26</v>
      </c>
      <c r="S51" s="15">
        <v>4.0</v>
      </c>
      <c r="T51" s="15">
        <v>4.0</v>
      </c>
      <c r="U51" s="15">
        <v>4.0</v>
      </c>
      <c r="V51" s="15">
        <v>4.0</v>
      </c>
      <c r="W51" s="15">
        <v>3.0</v>
      </c>
      <c r="X51" s="15">
        <v>4.0</v>
      </c>
      <c r="Y51" s="18">
        <f t="shared" si="3"/>
        <v>23</v>
      </c>
      <c r="Z51" s="15">
        <v>3.0</v>
      </c>
      <c r="AA51" s="15">
        <v>3.0</v>
      </c>
      <c r="AB51" s="15">
        <v>3.0</v>
      </c>
      <c r="AC51" s="15">
        <v>4.0</v>
      </c>
      <c r="AD51" s="15">
        <v>3.0</v>
      </c>
      <c r="AE51" s="15">
        <v>4.0</v>
      </c>
      <c r="AF51" s="18">
        <f t="shared" si="4"/>
        <v>20</v>
      </c>
      <c r="AG51" s="15">
        <v>4.0</v>
      </c>
      <c r="AH51" s="15">
        <v>5.0</v>
      </c>
      <c r="AI51" s="15">
        <v>5.0</v>
      </c>
      <c r="AJ51" s="15">
        <v>5.0</v>
      </c>
      <c r="AK51" s="15">
        <v>5.0</v>
      </c>
      <c r="AL51" s="15">
        <v>5.0</v>
      </c>
      <c r="AM51" s="19">
        <f t="shared" si="5"/>
        <v>29</v>
      </c>
      <c r="AN51" s="15">
        <v>4.0</v>
      </c>
      <c r="AO51" s="15">
        <v>4.0</v>
      </c>
      <c r="AP51" s="15">
        <v>5.0</v>
      </c>
      <c r="AQ51" s="15">
        <v>5.0</v>
      </c>
      <c r="AR51" s="15">
        <v>4.0</v>
      </c>
      <c r="AS51" s="15">
        <v>4.0</v>
      </c>
      <c r="AT51" s="19">
        <f t="shared" si="6"/>
        <v>26</v>
      </c>
      <c r="AU51" s="15">
        <v>3.0</v>
      </c>
      <c r="AV51" s="15">
        <v>3.0</v>
      </c>
      <c r="AW51" s="15">
        <v>3.0</v>
      </c>
      <c r="AX51" s="15">
        <v>5.0</v>
      </c>
      <c r="AY51" s="15">
        <v>5.0</v>
      </c>
      <c r="AZ51" s="15">
        <v>3.0</v>
      </c>
      <c r="BA51" s="20">
        <f t="shared" si="7"/>
        <v>22</v>
      </c>
      <c r="BB51" s="15">
        <v>3.0</v>
      </c>
      <c r="BC51" s="15">
        <v>4.0</v>
      </c>
      <c r="BD51" s="15">
        <v>4.0</v>
      </c>
      <c r="BE51" s="15">
        <v>4.0</v>
      </c>
      <c r="BF51" s="15">
        <v>3.0</v>
      </c>
      <c r="BG51" s="15">
        <v>5.0</v>
      </c>
      <c r="BH51" s="21">
        <f t="shared" si="8"/>
        <v>23</v>
      </c>
      <c r="BI51" s="15">
        <v>3.0</v>
      </c>
      <c r="BJ51" s="15">
        <v>5.0</v>
      </c>
      <c r="BK51" s="15">
        <v>5.0</v>
      </c>
      <c r="BL51" s="15">
        <v>4.0</v>
      </c>
      <c r="BM51" s="15">
        <v>4.0</v>
      </c>
      <c r="BN51" s="15">
        <v>2.0</v>
      </c>
      <c r="BO51" s="21">
        <f t="shared" si="9"/>
        <v>23</v>
      </c>
      <c r="BP51" s="22">
        <v>4.0</v>
      </c>
      <c r="BQ51" s="15">
        <v>3.0</v>
      </c>
      <c r="BR51" s="15">
        <v>3.0</v>
      </c>
      <c r="BS51" s="15">
        <v>4.0</v>
      </c>
      <c r="BT51" s="15">
        <v>4.0</v>
      </c>
      <c r="BU51" s="15">
        <v>4.0</v>
      </c>
      <c r="BV51" s="15">
        <v>4.0</v>
      </c>
      <c r="BW51" s="15">
        <v>4.0</v>
      </c>
      <c r="BX51" s="15">
        <v>4.0</v>
      </c>
      <c r="BY51" s="15">
        <v>4.0</v>
      </c>
      <c r="BZ51" s="15">
        <v>4.0</v>
      </c>
      <c r="CA51" s="15">
        <v>4.0</v>
      </c>
      <c r="CB51" s="23">
        <f t="shared" si="10"/>
        <v>46</v>
      </c>
      <c r="CC51" s="24">
        <v>26.0</v>
      </c>
      <c r="CD51" s="18">
        <v>23.0</v>
      </c>
      <c r="CE51" s="18">
        <v>20.0</v>
      </c>
      <c r="CF51" s="19">
        <v>29.0</v>
      </c>
      <c r="CG51" s="19">
        <v>26.0</v>
      </c>
      <c r="CH51" s="20">
        <v>22.0</v>
      </c>
      <c r="CI51" s="25">
        <v>23.0</v>
      </c>
      <c r="CJ51" s="25">
        <v>23.0</v>
      </c>
      <c r="CK51" s="26" t="str">
        <f t="shared" si="11"/>
        <v>Bodily–Kinesthetic Intelligence</v>
      </c>
      <c r="CL51" s="26"/>
    </row>
    <row r="52" ht="22.5" customHeight="1">
      <c r="A52" s="14">
        <v>46034.51134229166</v>
      </c>
      <c r="B52" s="15" t="s">
        <v>89</v>
      </c>
      <c r="C52" s="15" t="s">
        <v>90</v>
      </c>
      <c r="D52" s="15" t="s">
        <v>111</v>
      </c>
      <c r="E52" s="15" t="s">
        <v>92</v>
      </c>
      <c r="F52" s="16" t="s">
        <v>113</v>
      </c>
      <c r="G52" s="15">
        <v>3.0</v>
      </c>
      <c r="H52" s="15">
        <v>5.0</v>
      </c>
      <c r="I52" s="15">
        <v>1.0</v>
      </c>
      <c r="J52" s="15">
        <v>3.0</v>
      </c>
      <c r="K52" s="17">
        <f t="shared" si="1"/>
        <v>12</v>
      </c>
      <c r="L52" s="15">
        <v>4.0</v>
      </c>
      <c r="M52" s="15">
        <v>3.0</v>
      </c>
      <c r="N52" s="15">
        <v>3.0</v>
      </c>
      <c r="O52" s="15">
        <v>3.0</v>
      </c>
      <c r="P52" s="15">
        <v>2.0</v>
      </c>
      <c r="Q52" s="15">
        <v>2.0</v>
      </c>
      <c r="R52" s="18">
        <f t="shared" si="2"/>
        <v>17</v>
      </c>
      <c r="S52" s="15">
        <v>4.0</v>
      </c>
      <c r="T52" s="15">
        <v>5.0</v>
      </c>
      <c r="U52" s="15">
        <v>4.0</v>
      </c>
      <c r="V52" s="15">
        <v>3.0</v>
      </c>
      <c r="W52" s="15">
        <v>2.0</v>
      </c>
      <c r="X52" s="15">
        <v>2.0</v>
      </c>
      <c r="Y52" s="18">
        <f t="shared" si="3"/>
        <v>20</v>
      </c>
      <c r="Z52" s="15">
        <v>1.0</v>
      </c>
      <c r="AA52" s="15">
        <v>1.0</v>
      </c>
      <c r="AB52" s="15">
        <v>5.0</v>
      </c>
      <c r="AC52" s="15">
        <v>1.0</v>
      </c>
      <c r="AD52" s="15">
        <v>1.0</v>
      </c>
      <c r="AE52" s="15">
        <v>2.0</v>
      </c>
      <c r="AF52" s="18">
        <f t="shared" si="4"/>
        <v>11</v>
      </c>
      <c r="AG52" s="15">
        <v>2.0</v>
      </c>
      <c r="AH52" s="15">
        <v>3.0</v>
      </c>
      <c r="AI52" s="15">
        <v>4.0</v>
      </c>
      <c r="AJ52" s="15">
        <v>3.0</v>
      </c>
      <c r="AK52" s="15">
        <v>2.0</v>
      </c>
      <c r="AL52" s="15">
        <v>2.0</v>
      </c>
      <c r="AM52" s="19">
        <f t="shared" si="5"/>
        <v>16</v>
      </c>
      <c r="AN52" s="15">
        <v>3.0</v>
      </c>
      <c r="AO52" s="15">
        <v>2.0</v>
      </c>
      <c r="AP52" s="15">
        <v>2.0</v>
      </c>
      <c r="AQ52" s="15">
        <v>2.0</v>
      </c>
      <c r="AR52" s="15">
        <v>4.0</v>
      </c>
      <c r="AS52" s="15">
        <v>4.0</v>
      </c>
      <c r="AT52" s="19">
        <f t="shared" si="6"/>
        <v>17</v>
      </c>
      <c r="AU52" s="15">
        <v>1.0</v>
      </c>
      <c r="AV52" s="15">
        <v>1.0</v>
      </c>
      <c r="AW52" s="15">
        <v>1.0</v>
      </c>
      <c r="AX52" s="15">
        <v>3.0</v>
      </c>
      <c r="AY52" s="15">
        <v>2.0</v>
      </c>
      <c r="AZ52" s="15">
        <v>2.0</v>
      </c>
      <c r="BA52" s="20">
        <f t="shared" si="7"/>
        <v>10</v>
      </c>
      <c r="BB52" s="15">
        <v>3.0</v>
      </c>
      <c r="BC52" s="15">
        <v>3.0</v>
      </c>
      <c r="BD52" s="15">
        <v>3.0</v>
      </c>
      <c r="BE52" s="15">
        <v>3.0</v>
      </c>
      <c r="BF52" s="15">
        <v>3.0</v>
      </c>
      <c r="BG52" s="15">
        <v>4.0</v>
      </c>
      <c r="BH52" s="21">
        <f t="shared" si="8"/>
        <v>19</v>
      </c>
      <c r="BI52" s="15">
        <v>2.0</v>
      </c>
      <c r="BJ52" s="15">
        <v>5.0</v>
      </c>
      <c r="BK52" s="15">
        <v>4.0</v>
      </c>
      <c r="BL52" s="15">
        <v>4.0</v>
      </c>
      <c r="BM52" s="15">
        <v>3.0</v>
      </c>
      <c r="BN52" s="15">
        <v>1.0</v>
      </c>
      <c r="BO52" s="21">
        <f t="shared" si="9"/>
        <v>19</v>
      </c>
      <c r="BP52" s="22">
        <v>2.0</v>
      </c>
      <c r="BQ52" s="15">
        <v>3.0</v>
      </c>
      <c r="BR52" s="15">
        <v>4.0</v>
      </c>
      <c r="BS52" s="15">
        <v>5.0</v>
      </c>
      <c r="BT52" s="15">
        <v>4.0</v>
      </c>
      <c r="BU52" s="15">
        <v>4.0</v>
      </c>
      <c r="BV52" s="15">
        <v>3.0</v>
      </c>
      <c r="BW52" s="15">
        <v>3.0</v>
      </c>
      <c r="BX52" s="15">
        <v>4.0</v>
      </c>
      <c r="BY52" s="15">
        <v>5.0</v>
      </c>
      <c r="BZ52" s="15">
        <v>5.0</v>
      </c>
      <c r="CA52" s="15">
        <v>3.0</v>
      </c>
      <c r="CB52" s="23">
        <f t="shared" si="10"/>
        <v>45</v>
      </c>
      <c r="CC52" s="24">
        <v>17.0</v>
      </c>
      <c r="CD52" s="18">
        <v>20.0</v>
      </c>
      <c r="CE52" s="18">
        <v>11.0</v>
      </c>
      <c r="CF52" s="19">
        <v>16.0</v>
      </c>
      <c r="CG52" s="19">
        <v>17.0</v>
      </c>
      <c r="CH52" s="20">
        <v>10.0</v>
      </c>
      <c r="CI52" s="25">
        <v>19.0</v>
      </c>
      <c r="CJ52" s="25">
        <v>19.0</v>
      </c>
      <c r="CK52" s="26" t="str">
        <f t="shared" si="11"/>
        <v>Interpersonal Intelligence
</v>
      </c>
      <c r="CL52" s="26"/>
    </row>
    <row r="53" ht="22.5" customHeight="1">
      <c r="A53" s="14">
        <v>46034.51628408565</v>
      </c>
      <c r="B53" s="15" t="s">
        <v>89</v>
      </c>
      <c r="C53" s="15" t="s">
        <v>90</v>
      </c>
      <c r="D53" s="15" t="s">
        <v>111</v>
      </c>
      <c r="E53" s="15" t="s">
        <v>92</v>
      </c>
      <c r="F53" s="16"/>
      <c r="G53" s="15">
        <v>4.0</v>
      </c>
      <c r="H53" s="15">
        <v>5.0</v>
      </c>
      <c r="I53" s="15">
        <v>4.0</v>
      </c>
      <c r="J53" s="15">
        <v>5.0</v>
      </c>
      <c r="K53" s="17">
        <f t="shared" si="1"/>
        <v>18</v>
      </c>
      <c r="L53" s="15">
        <v>5.0</v>
      </c>
      <c r="M53" s="15">
        <v>5.0</v>
      </c>
      <c r="N53" s="15">
        <v>5.0</v>
      </c>
      <c r="O53" s="15">
        <v>5.0</v>
      </c>
      <c r="P53" s="15">
        <v>5.0</v>
      </c>
      <c r="Q53" s="15">
        <v>5.0</v>
      </c>
      <c r="R53" s="18">
        <f t="shared" si="2"/>
        <v>30</v>
      </c>
      <c r="S53" s="15">
        <v>4.0</v>
      </c>
      <c r="T53" s="15">
        <v>4.0</v>
      </c>
      <c r="U53" s="15">
        <v>4.0</v>
      </c>
      <c r="V53" s="15">
        <v>4.0</v>
      </c>
      <c r="W53" s="15">
        <v>4.0</v>
      </c>
      <c r="X53" s="15">
        <v>5.0</v>
      </c>
      <c r="Y53" s="18">
        <f t="shared" si="3"/>
        <v>25</v>
      </c>
      <c r="Z53" s="15">
        <v>4.0</v>
      </c>
      <c r="AA53" s="15">
        <v>4.0</v>
      </c>
      <c r="AB53" s="15">
        <v>4.0</v>
      </c>
      <c r="AC53" s="15">
        <v>5.0</v>
      </c>
      <c r="AD53" s="15">
        <v>5.0</v>
      </c>
      <c r="AE53" s="15">
        <v>5.0</v>
      </c>
      <c r="AF53" s="18">
        <f t="shared" si="4"/>
        <v>27</v>
      </c>
      <c r="AG53" s="15">
        <v>4.0</v>
      </c>
      <c r="AH53" s="15">
        <v>4.0</v>
      </c>
      <c r="AI53" s="15">
        <v>5.0</v>
      </c>
      <c r="AJ53" s="15">
        <v>5.0</v>
      </c>
      <c r="AK53" s="15">
        <v>5.0</v>
      </c>
      <c r="AL53" s="15">
        <v>5.0</v>
      </c>
      <c r="AM53" s="19">
        <f t="shared" si="5"/>
        <v>28</v>
      </c>
      <c r="AN53" s="15">
        <v>5.0</v>
      </c>
      <c r="AO53" s="15">
        <v>5.0</v>
      </c>
      <c r="AP53" s="15">
        <v>5.0</v>
      </c>
      <c r="AQ53" s="15">
        <v>5.0</v>
      </c>
      <c r="AR53" s="15">
        <v>5.0</v>
      </c>
      <c r="AS53" s="15">
        <v>5.0</v>
      </c>
      <c r="AT53" s="19">
        <f t="shared" si="6"/>
        <v>30</v>
      </c>
      <c r="AU53" s="15">
        <v>4.0</v>
      </c>
      <c r="AV53" s="15">
        <v>5.0</v>
      </c>
      <c r="AW53" s="15">
        <v>5.0</v>
      </c>
      <c r="AX53" s="15">
        <v>5.0</v>
      </c>
      <c r="AY53" s="15">
        <v>5.0</v>
      </c>
      <c r="AZ53" s="15">
        <v>5.0</v>
      </c>
      <c r="BA53" s="20">
        <f t="shared" si="7"/>
        <v>29</v>
      </c>
      <c r="BB53" s="15">
        <v>5.0</v>
      </c>
      <c r="BC53" s="15">
        <v>5.0</v>
      </c>
      <c r="BD53" s="15">
        <v>5.0</v>
      </c>
      <c r="BE53" s="15">
        <v>5.0</v>
      </c>
      <c r="BF53" s="15">
        <v>5.0</v>
      </c>
      <c r="BG53" s="15">
        <v>5.0</v>
      </c>
      <c r="BH53" s="21">
        <f t="shared" si="8"/>
        <v>30</v>
      </c>
      <c r="BI53" s="15">
        <v>5.0</v>
      </c>
      <c r="BJ53" s="15">
        <v>5.0</v>
      </c>
      <c r="BK53" s="15">
        <v>5.0</v>
      </c>
      <c r="BL53" s="15">
        <v>5.0</v>
      </c>
      <c r="BM53" s="15">
        <v>5.0</v>
      </c>
      <c r="BN53" s="15">
        <v>5.0</v>
      </c>
      <c r="BO53" s="21">
        <f t="shared" si="9"/>
        <v>30</v>
      </c>
      <c r="BP53" s="22">
        <v>4.0</v>
      </c>
      <c r="BQ53" s="15">
        <v>4.0</v>
      </c>
      <c r="BR53" s="15">
        <v>4.0</v>
      </c>
      <c r="BS53" s="15">
        <v>5.0</v>
      </c>
      <c r="BT53" s="15">
        <v>4.0</v>
      </c>
      <c r="BU53" s="15">
        <v>5.0</v>
      </c>
      <c r="BV53" s="15">
        <v>4.0</v>
      </c>
      <c r="BW53" s="15">
        <v>4.0</v>
      </c>
      <c r="BX53" s="15">
        <v>4.0</v>
      </c>
      <c r="BY53" s="15">
        <v>4.0</v>
      </c>
      <c r="BZ53" s="15">
        <v>5.0</v>
      </c>
      <c r="CA53" s="15">
        <v>5.0</v>
      </c>
      <c r="CB53" s="23">
        <f t="shared" si="10"/>
        <v>52</v>
      </c>
      <c r="CC53" s="24">
        <v>30.0</v>
      </c>
      <c r="CD53" s="18">
        <v>25.0</v>
      </c>
      <c r="CE53" s="18">
        <v>27.0</v>
      </c>
      <c r="CF53" s="19">
        <v>28.0</v>
      </c>
      <c r="CG53" s="19">
        <v>30.0</v>
      </c>
      <c r="CH53" s="20">
        <v>29.0</v>
      </c>
      <c r="CI53" s="25">
        <v>30.0</v>
      </c>
      <c r="CJ53" s="25">
        <v>30.0</v>
      </c>
      <c r="CK53" s="26" t="str">
        <f t="shared" si="11"/>
        <v>Intrapersonal Intelligence</v>
      </c>
      <c r="CL53" s="26"/>
    </row>
    <row r="54" ht="22.5" customHeight="1">
      <c r="A54" s="14">
        <v>46034.560926921295</v>
      </c>
      <c r="B54" s="15" t="s">
        <v>89</v>
      </c>
      <c r="C54" s="15" t="s">
        <v>90</v>
      </c>
      <c r="D54" s="15" t="s">
        <v>111</v>
      </c>
      <c r="E54" s="15" t="s">
        <v>97</v>
      </c>
      <c r="F54" s="16"/>
      <c r="G54" s="15">
        <v>4.0</v>
      </c>
      <c r="H54" s="15">
        <v>4.0</v>
      </c>
      <c r="I54" s="15">
        <v>4.0</v>
      </c>
      <c r="J54" s="15">
        <v>4.0</v>
      </c>
      <c r="K54" s="17">
        <f t="shared" si="1"/>
        <v>16</v>
      </c>
      <c r="L54" s="15">
        <v>4.0</v>
      </c>
      <c r="M54" s="15">
        <v>5.0</v>
      </c>
      <c r="N54" s="15">
        <v>4.0</v>
      </c>
      <c r="O54" s="15">
        <v>4.0</v>
      </c>
      <c r="P54" s="15">
        <v>4.0</v>
      </c>
      <c r="Q54" s="15">
        <v>4.0</v>
      </c>
      <c r="R54" s="18">
        <f t="shared" si="2"/>
        <v>25</v>
      </c>
      <c r="S54" s="15">
        <v>4.0</v>
      </c>
      <c r="T54" s="15">
        <v>4.0</v>
      </c>
      <c r="U54" s="15">
        <v>4.0</v>
      </c>
      <c r="V54" s="15">
        <v>4.0</v>
      </c>
      <c r="W54" s="15">
        <v>4.0</v>
      </c>
      <c r="X54" s="15">
        <v>4.0</v>
      </c>
      <c r="Y54" s="18">
        <f t="shared" si="3"/>
        <v>24</v>
      </c>
      <c r="Z54" s="15">
        <v>4.0</v>
      </c>
      <c r="AA54" s="15">
        <v>4.0</v>
      </c>
      <c r="AB54" s="15">
        <v>4.0</v>
      </c>
      <c r="AC54" s="15">
        <v>4.0</v>
      </c>
      <c r="AD54" s="15">
        <v>4.0</v>
      </c>
      <c r="AE54" s="15">
        <v>4.0</v>
      </c>
      <c r="AF54" s="18">
        <f t="shared" si="4"/>
        <v>24</v>
      </c>
      <c r="AG54" s="15">
        <v>4.0</v>
      </c>
      <c r="AH54" s="15">
        <v>4.0</v>
      </c>
      <c r="AI54" s="15">
        <v>4.0</v>
      </c>
      <c r="AJ54" s="15">
        <v>4.0</v>
      </c>
      <c r="AK54" s="15">
        <v>4.0</v>
      </c>
      <c r="AL54" s="15">
        <v>4.0</v>
      </c>
      <c r="AM54" s="19">
        <f t="shared" si="5"/>
        <v>24</v>
      </c>
      <c r="AN54" s="15">
        <v>4.0</v>
      </c>
      <c r="AO54" s="15">
        <v>4.0</v>
      </c>
      <c r="AP54" s="15">
        <v>4.0</v>
      </c>
      <c r="AQ54" s="15">
        <v>4.0</v>
      </c>
      <c r="AR54" s="15">
        <v>4.0</v>
      </c>
      <c r="AS54" s="15">
        <v>4.0</v>
      </c>
      <c r="AT54" s="19">
        <f t="shared" si="6"/>
        <v>24</v>
      </c>
      <c r="AU54" s="15">
        <v>4.0</v>
      </c>
      <c r="AV54" s="15">
        <v>4.0</v>
      </c>
      <c r="AW54" s="15">
        <v>4.0</v>
      </c>
      <c r="AX54" s="15">
        <v>4.0</v>
      </c>
      <c r="AY54" s="15">
        <v>4.0</v>
      </c>
      <c r="AZ54" s="15">
        <v>4.0</v>
      </c>
      <c r="BA54" s="20">
        <f t="shared" si="7"/>
        <v>24</v>
      </c>
      <c r="BB54" s="15">
        <v>4.0</v>
      </c>
      <c r="BC54" s="15">
        <v>4.0</v>
      </c>
      <c r="BD54" s="15">
        <v>4.0</v>
      </c>
      <c r="BE54" s="15">
        <v>4.0</v>
      </c>
      <c r="BF54" s="15">
        <v>4.0</v>
      </c>
      <c r="BG54" s="15">
        <v>4.0</v>
      </c>
      <c r="BH54" s="21">
        <f t="shared" si="8"/>
        <v>24</v>
      </c>
      <c r="BI54" s="15">
        <v>4.0</v>
      </c>
      <c r="BJ54" s="15">
        <v>4.0</v>
      </c>
      <c r="BK54" s="15">
        <v>4.0</v>
      </c>
      <c r="BL54" s="15">
        <v>4.0</v>
      </c>
      <c r="BM54" s="15">
        <v>4.0</v>
      </c>
      <c r="BN54" s="15">
        <v>4.0</v>
      </c>
      <c r="BO54" s="21">
        <f t="shared" si="9"/>
        <v>24</v>
      </c>
      <c r="BP54" s="22">
        <v>3.0</v>
      </c>
      <c r="BQ54" s="15">
        <v>3.0</v>
      </c>
      <c r="BR54" s="15">
        <v>4.0</v>
      </c>
      <c r="BS54" s="15">
        <v>3.0</v>
      </c>
      <c r="BT54" s="15">
        <v>3.0</v>
      </c>
      <c r="BU54" s="15">
        <v>3.0</v>
      </c>
      <c r="BV54" s="15">
        <v>3.0</v>
      </c>
      <c r="BW54" s="15">
        <v>3.0</v>
      </c>
      <c r="BX54" s="15">
        <v>3.0</v>
      </c>
      <c r="BY54" s="15">
        <v>4.0</v>
      </c>
      <c r="BZ54" s="15">
        <v>4.0</v>
      </c>
      <c r="CA54" s="15">
        <v>3.0</v>
      </c>
      <c r="CB54" s="23">
        <f t="shared" si="10"/>
        <v>39</v>
      </c>
      <c r="CC54" s="24">
        <v>25.0</v>
      </c>
      <c r="CD54" s="18">
        <v>24.0</v>
      </c>
      <c r="CE54" s="18">
        <v>24.0</v>
      </c>
      <c r="CF54" s="19">
        <v>24.0</v>
      </c>
      <c r="CG54" s="19">
        <v>24.0</v>
      </c>
      <c r="CH54" s="20">
        <v>24.0</v>
      </c>
      <c r="CI54" s="25">
        <v>24.0</v>
      </c>
      <c r="CJ54" s="25">
        <v>24.0</v>
      </c>
      <c r="CK54" s="26" t="str">
        <f t="shared" si="11"/>
        <v>Intrapersonal Intelligence</v>
      </c>
      <c r="CL54" s="26"/>
    </row>
    <row r="55" ht="22.5" customHeight="1">
      <c r="A55" s="14">
        <v>46034.60450033565</v>
      </c>
      <c r="B55" s="15" t="s">
        <v>89</v>
      </c>
      <c r="C55" s="15" t="s">
        <v>90</v>
      </c>
      <c r="D55" s="15" t="s">
        <v>111</v>
      </c>
      <c r="E55" s="15" t="s">
        <v>92</v>
      </c>
      <c r="F55" s="16"/>
      <c r="G55" s="15">
        <v>3.0</v>
      </c>
      <c r="H55" s="15">
        <v>2.0</v>
      </c>
      <c r="I55" s="15">
        <v>2.0</v>
      </c>
      <c r="J55" s="15">
        <v>2.0</v>
      </c>
      <c r="K55" s="17">
        <f t="shared" si="1"/>
        <v>9</v>
      </c>
      <c r="L55" s="15">
        <v>2.0</v>
      </c>
      <c r="M55" s="15">
        <v>2.0</v>
      </c>
      <c r="N55" s="15">
        <v>2.0</v>
      </c>
      <c r="O55" s="15">
        <v>3.0</v>
      </c>
      <c r="P55" s="15">
        <v>2.0</v>
      </c>
      <c r="Q55" s="15">
        <v>3.0</v>
      </c>
      <c r="R55" s="18">
        <f t="shared" si="2"/>
        <v>14</v>
      </c>
      <c r="S55" s="15">
        <v>2.0</v>
      </c>
      <c r="T55" s="15">
        <v>3.0</v>
      </c>
      <c r="U55" s="15">
        <v>2.0</v>
      </c>
      <c r="V55" s="15">
        <v>3.0</v>
      </c>
      <c r="W55" s="15">
        <v>3.0</v>
      </c>
      <c r="X55" s="15">
        <v>3.0</v>
      </c>
      <c r="Y55" s="18">
        <f t="shared" si="3"/>
        <v>16</v>
      </c>
      <c r="Z55" s="15">
        <v>2.0</v>
      </c>
      <c r="AA55" s="15">
        <v>2.0</v>
      </c>
      <c r="AB55" s="15">
        <v>2.0</v>
      </c>
      <c r="AC55" s="15">
        <v>4.0</v>
      </c>
      <c r="AD55" s="15">
        <v>5.0</v>
      </c>
      <c r="AE55" s="15">
        <v>4.0</v>
      </c>
      <c r="AF55" s="18">
        <f t="shared" si="4"/>
        <v>19</v>
      </c>
      <c r="AG55" s="15">
        <v>5.0</v>
      </c>
      <c r="AH55" s="15">
        <v>4.0</v>
      </c>
      <c r="AI55" s="15">
        <v>4.0</v>
      </c>
      <c r="AJ55" s="15">
        <v>3.0</v>
      </c>
      <c r="AK55" s="15">
        <v>4.0</v>
      </c>
      <c r="AL55" s="15">
        <v>4.0</v>
      </c>
      <c r="AM55" s="19">
        <f t="shared" si="5"/>
        <v>24</v>
      </c>
      <c r="AN55" s="15">
        <v>2.0</v>
      </c>
      <c r="AO55" s="15">
        <v>3.0</v>
      </c>
      <c r="AP55" s="15">
        <v>2.0</v>
      </c>
      <c r="AQ55" s="15">
        <v>3.0</v>
      </c>
      <c r="AR55" s="15">
        <v>3.0</v>
      </c>
      <c r="AS55" s="15">
        <v>3.0</v>
      </c>
      <c r="AT55" s="19">
        <f t="shared" si="6"/>
        <v>16</v>
      </c>
      <c r="AU55" s="15">
        <v>3.0</v>
      </c>
      <c r="AV55" s="15">
        <v>5.0</v>
      </c>
      <c r="AW55" s="15">
        <v>4.0</v>
      </c>
      <c r="AX55" s="15">
        <v>4.0</v>
      </c>
      <c r="AY55" s="15">
        <v>4.0</v>
      </c>
      <c r="AZ55" s="15">
        <v>4.0</v>
      </c>
      <c r="BA55" s="20">
        <f t="shared" si="7"/>
        <v>24</v>
      </c>
      <c r="BB55" s="15">
        <v>4.0</v>
      </c>
      <c r="BC55" s="15">
        <v>4.0</v>
      </c>
      <c r="BD55" s="15">
        <v>5.0</v>
      </c>
      <c r="BE55" s="15">
        <v>4.0</v>
      </c>
      <c r="BF55" s="15">
        <v>5.0</v>
      </c>
      <c r="BG55" s="15">
        <v>4.0</v>
      </c>
      <c r="BH55" s="21">
        <f t="shared" si="8"/>
        <v>26</v>
      </c>
      <c r="BI55" s="15">
        <v>5.0</v>
      </c>
      <c r="BJ55" s="15">
        <v>4.0</v>
      </c>
      <c r="BK55" s="15">
        <v>4.0</v>
      </c>
      <c r="BL55" s="15">
        <v>5.0</v>
      </c>
      <c r="BM55" s="15">
        <v>4.0</v>
      </c>
      <c r="BN55" s="15">
        <v>4.0</v>
      </c>
      <c r="BO55" s="21">
        <f t="shared" si="9"/>
        <v>26</v>
      </c>
      <c r="BP55" s="22">
        <v>5.0</v>
      </c>
      <c r="BQ55" s="15">
        <v>4.0</v>
      </c>
      <c r="BR55" s="15">
        <v>5.0</v>
      </c>
      <c r="BS55" s="15">
        <v>4.0</v>
      </c>
      <c r="BT55" s="15">
        <v>5.0</v>
      </c>
      <c r="BU55" s="15">
        <v>4.0</v>
      </c>
      <c r="BV55" s="15">
        <v>5.0</v>
      </c>
      <c r="BW55" s="15">
        <v>5.0</v>
      </c>
      <c r="BX55" s="15">
        <v>5.0</v>
      </c>
      <c r="BY55" s="15">
        <v>4.0</v>
      </c>
      <c r="BZ55" s="15">
        <v>5.0</v>
      </c>
      <c r="CA55" s="15">
        <v>4.0</v>
      </c>
      <c r="CB55" s="23">
        <f t="shared" si="10"/>
        <v>55</v>
      </c>
      <c r="CC55" s="24">
        <v>14.0</v>
      </c>
      <c r="CD55" s="18">
        <v>16.0</v>
      </c>
      <c r="CE55" s="18">
        <v>19.0</v>
      </c>
      <c r="CF55" s="19">
        <v>24.0</v>
      </c>
      <c r="CG55" s="19">
        <v>16.0</v>
      </c>
      <c r="CH55" s="20">
        <v>24.0</v>
      </c>
      <c r="CI55" s="25">
        <v>26.0</v>
      </c>
      <c r="CJ55" s="25">
        <v>26.0</v>
      </c>
      <c r="CK55" s="26" t="str">
        <f t="shared" si="11"/>
        <v>Visual–Spatial Intelligence
</v>
      </c>
      <c r="CL55" s="26"/>
    </row>
    <row r="56" ht="22.5" customHeight="1">
      <c r="A56" s="14">
        <v>46034.60685327546</v>
      </c>
      <c r="B56" s="15" t="s">
        <v>89</v>
      </c>
      <c r="C56" s="15" t="s">
        <v>90</v>
      </c>
      <c r="D56" s="15" t="s">
        <v>111</v>
      </c>
      <c r="E56" s="15" t="s">
        <v>92</v>
      </c>
      <c r="F56" s="16" t="s">
        <v>114</v>
      </c>
      <c r="G56" s="15">
        <v>5.0</v>
      </c>
      <c r="H56" s="15">
        <v>5.0</v>
      </c>
      <c r="I56" s="15">
        <v>5.0</v>
      </c>
      <c r="J56" s="15">
        <v>4.0</v>
      </c>
      <c r="K56" s="17">
        <f t="shared" si="1"/>
        <v>19</v>
      </c>
      <c r="L56" s="15">
        <v>3.0</v>
      </c>
      <c r="M56" s="15">
        <v>5.0</v>
      </c>
      <c r="N56" s="15">
        <v>4.0</v>
      </c>
      <c r="O56" s="15">
        <v>4.0</v>
      </c>
      <c r="P56" s="15">
        <v>5.0</v>
      </c>
      <c r="Q56" s="15">
        <v>4.0</v>
      </c>
      <c r="R56" s="18">
        <f t="shared" si="2"/>
        <v>25</v>
      </c>
      <c r="S56" s="15">
        <v>5.0</v>
      </c>
      <c r="T56" s="15">
        <v>4.0</v>
      </c>
      <c r="U56" s="15">
        <v>3.0</v>
      </c>
      <c r="V56" s="15">
        <v>4.0</v>
      </c>
      <c r="W56" s="15">
        <v>3.0</v>
      </c>
      <c r="X56" s="15">
        <v>5.0</v>
      </c>
      <c r="Y56" s="18">
        <f t="shared" si="3"/>
        <v>24</v>
      </c>
      <c r="Z56" s="15">
        <v>4.0</v>
      </c>
      <c r="AA56" s="15">
        <v>3.0</v>
      </c>
      <c r="AB56" s="15">
        <v>5.0</v>
      </c>
      <c r="AC56" s="15">
        <v>4.0</v>
      </c>
      <c r="AD56" s="15">
        <v>4.0</v>
      </c>
      <c r="AE56" s="15">
        <v>5.0</v>
      </c>
      <c r="AF56" s="18">
        <f t="shared" si="4"/>
        <v>25</v>
      </c>
      <c r="AG56" s="15">
        <v>5.0</v>
      </c>
      <c r="AH56" s="15">
        <v>3.0</v>
      </c>
      <c r="AI56" s="15">
        <v>2.0</v>
      </c>
      <c r="AJ56" s="15">
        <v>3.0</v>
      </c>
      <c r="AK56" s="15">
        <v>5.0</v>
      </c>
      <c r="AL56" s="15">
        <v>3.0</v>
      </c>
      <c r="AM56" s="19">
        <f t="shared" si="5"/>
        <v>21</v>
      </c>
      <c r="AN56" s="15">
        <v>4.0</v>
      </c>
      <c r="AO56" s="15">
        <v>4.0</v>
      </c>
      <c r="AP56" s="15">
        <v>4.0</v>
      </c>
      <c r="AQ56" s="15">
        <v>3.0</v>
      </c>
      <c r="AR56" s="15">
        <v>5.0</v>
      </c>
      <c r="AS56" s="15">
        <v>4.0</v>
      </c>
      <c r="AT56" s="19">
        <f t="shared" si="6"/>
        <v>24</v>
      </c>
      <c r="AU56" s="15">
        <v>5.0</v>
      </c>
      <c r="AV56" s="15">
        <v>5.0</v>
      </c>
      <c r="AW56" s="15">
        <v>5.0</v>
      </c>
      <c r="AX56" s="15">
        <v>3.0</v>
      </c>
      <c r="AY56" s="15">
        <v>5.0</v>
      </c>
      <c r="AZ56" s="15">
        <v>5.0</v>
      </c>
      <c r="BA56" s="20">
        <f t="shared" si="7"/>
        <v>28</v>
      </c>
      <c r="BB56" s="15">
        <v>5.0</v>
      </c>
      <c r="BC56" s="15">
        <v>4.0</v>
      </c>
      <c r="BD56" s="15">
        <v>4.0</v>
      </c>
      <c r="BE56" s="15">
        <v>4.0</v>
      </c>
      <c r="BF56" s="15">
        <v>5.0</v>
      </c>
      <c r="BG56" s="15">
        <v>5.0</v>
      </c>
      <c r="BH56" s="21">
        <f t="shared" si="8"/>
        <v>27</v>
      </c>
      <c r="BI56" s="15">
        <v>3.0</v>
      </c>
      <c r="BJ56" s="15">
        <v>3.0</v>
      </c>
      <c r="BK56" s="15">
        <v>3.0</v>
      </c>
      <c r="BL56" s="15">
        <v>3.0</v>
      </c>
      <c r="BM56" s="15">
        <v>3.0</v>
      </c>
      <c r="BN56" s="15">
        <v>3.0</v>
      </c>
      <c r="BO56" s="21">
        <f t="shared" si="9"/>
        <v>18</v>
      </c>
      <c r="BP56" s="22">
        <v>4.0</v>
      </c>
      <c r="BQ56" s="15">
        <v>3.0</v>
      </c>
      <c r="BR56" s="15">
        <v>4.0</v>
      </c>
      <c r="BS56" s="15">
        <v>4.0</v>
      </c>
      <c r="BT56" s="15">
        <v>3.0</v>
      </c>
      <c r="BU56" s="15">
        <v>4.0</v>
      </c>
      <c r="BV56" s="15">
        <v>4.0</v>
      </c>
      <c r="BW56" s="15">
        <v>3.0</v>
      </c>
      <c r="BX56" s="15">
        <v>4.0</v>
      </c>
      <c r="BY56" s="15">
        <v>3.0</v>
      </c>
      <c r="BZ56" s="15">
        <v>5.0</v>
      </c>
      <c r="CA56" s="15">
        <v>4.0</v>
      </c>
      <c r="CB56" s="23">
        <f t="shared" si="10"/>
        <v>45</v>
      </c>
      <c r="CC56" s="24">
        <v>25.0</v>
      </c>
      <c r="CD56" s="18">
        <v>24.0</v>
      </c>
      <c r="CE56" s="18">
        <v>25.0</v>
      </c>
      <c r="CF56" s="19">
        <v>21.0</v>
      </c>
      <c r="CG56" s="19">
        <v>24.0</v>
      </c>
      <c r="CH56" s="20">
        <v>28.0</v>
      </c>
      <c r="CI56" s="25">
        <v>27.0</v>
      </c>
      <c r="CJ56" s="25">
        <v>18.0</v>
      </c>
      <c r="CK56" s="26" t="str">
        <f t="shared" si="11"/>
        <v>Naturalistic Intelligence
</v>
      </c>
      <c r="CL56" s="26"/>
    </row>
    <row r="57" ht="22.5" customHeight="1">
      <c r="A57" s="14">
        <v>46034.61327224537</v>
      </c>
      <c r="B57" s="15" t="s">
        <v>89</v>
      </c>
      <c r="C57" s="15" t="s">
        <v>90</v>
      </c>
      <c r="D57" s="15" t="s">
        <v>111</v>
      </c>
      <c r="E57" s="15" t="s">
        <v>92</v>
      </c>
      <c r="F57" s="16"/>
      <c r="G57" s="15">
        <v>5.0</v>
      </c>
      <c r="H57" s="15">
        <v>5.0</v>
      </c>
      <c r="I57" s="15">
        <v>5.0</v>
      </c>
      <c r="J57" s="15">
        <v>5.0</v>
      </c>
      <c r="K57" s="17">
        <f t="shared" si="1"/>
        <v>20</v>
      </c>
      <c r="L57" s="15">
        <v>4.0</v>
      </c>
      <c r="M57" s="15">
        <v>4.0</v>
      </c>
      <c r="N57" s="15">
        <v>5.0</v>
      </c>
      <c r="O57" s="15">
        <v>5.0</v>
      </c>
      <c r="P57" s="15">
        <v>5.0</v>
      </c>
      <c r="Q57" s="15">
        <v>5.0</v>
      </c>
      <c r="R57" s="18">
        <f t="shared" si="2"/>
        <v>28</v>
      </c>
      <c r="S57" s="15">
        <v>5.0</v>
      </c>
      <c r="T57" s="15">
        <v>4.0</v>
      </c>
      <c r="U57" s="15">
        <v>5.0</v>
      </c>
      <c r="V57" s="15">
        <v>3.0</v>
      </c>
      <c r="W57" s="15">
        <v>3.0</v>
      </c>
      <c r="X57" s="15">
        <v>5.0</v>
      </c>
      <c r="Y57" s="18">
        <f t="shared" si="3"/>
        <v>25</v>
      </c>
      <c r="Z57" s="15">
        <v>5.0</v>
      </c>
      <c r="AA57" s="15">
        <v>5.0</v>
      </c>
      <c r="AB57" s="15">
        <v>4.0</v>
      </c>
      <c r="AC57" s="15">
        <v>4.0</v>
      </c>
      <c r="AD57" s="15">
        <v>4.0</v>
      </c>
      <c r="AE57" s="15">
        <v>5.0</v>
      </c>
      <c r="AF57" s="18">
        <f t="shared" si="4"/>
        <v>27</v>
      </c>
      <c r="AG57" s="15">
        <v>4.0</v>
      </c>
      <c r="AH57" s="15">
        <v>3.0</v>
      </c>
      <c r="AI57" s="15">
        <v>3.0</v>
      </c>
      <c r="AJ57" s="15">
        <v>3.0</v>
      </c>
      <c r="AK57" s="15">
        <v>5.0</v>
      </c>
      <c r="AL57" s="15">
        <v>4.0</v>
      </c>
      <c r="AM57" s="19">
        <f t="shared" si="5"/>
        <v>22</v>
      </c>
      <c r="AN57" s="15">
        <v>2.0</v>
      </c>
      <c r="AO57" s="15">
        <v>3.0</v>
      </c>
      <c r="AP57" s="15">
        <v>3.0</v>
      </c>
      <c r="AQ57" s="15">
        <v>4.0</v>
      </c>
      <c r="AR57" s="15">
        <v>3.0</v>
      </c>
      <c r="AS57" s="15">
        <v>3.0</v>
      </c>
      <c r="AT57" s="19">
        <f t="shared" si="6"/>
        <v>18</v>
      </c>
      <c r="AU57" s="15">
        <v>4.0</v>
      </c>
      <c r="AV57" s="15">
        <v>4.0</v>
      </c>
      <c r="AW57" s="15">
        <v>4.0</v>
      </c>
      <c r="AX57" s="15">
        <v>4.0</v>
      </c>
      <c r="AY57" s="15">
        <v>5.0</v>
      </c>
      <c r="AZ57" s="15">
        <v>4.0</v>
      </c>
      <c r="BA57" s="20">
        <f t="shared" si="7"/>
        <v>25</v>
      </c>
      <c r="BB57" s="15">
        <v>2.0</v>
      </c>
      <c r="BC57" s="15">
        <v>3.0</v>
      </c>
      <c r="BD57" s="15">
        <v>2.0</v>
      </c>
      <c r="BE57" s="15">
        <v>4.0</v>
      </c>
      <c r="BF57" s="15">
        <v>3.0</v>
      </c>
      <c r="BG57" s="15">
        <v>4.0</v>
      </c>
      <c r="BH57" s="21">
        <f t="shared" si="8"/>
        <v>18</v>
      </c>
      <c r="BI57" s="15">
        <v>5.0</v>
      </c>
      <c r="BJ57" s="15">
        <v>5.0</v>
      </c>
      <c r="BK57" s="15">
        <v>5.0</v>
      </c>
      <c r="BL57" s="15">
        <v>4.0</v>
      </c>
      <c r="BM57" s="15">
        <v>4.0</v>
      </c>
      <c r="BN57" s="15">
        <v>4.0</v>
      </c>
      <c r="BO57" s="21">
        <f t="shared" si="9"/>
        <v>27</v>
      </c>
      <c r="BP57" s="22">
        <v>3.0</v>
      </c>
      <c r="BQ57" s="15">
        <v>4.0</v>
      </c>
      <c r="BR57" s="15">
        <v>4.0</v>
      </c>
      <c r="BS57" s="15">
        <v>4.0</v>
      </c>
      <c r="BT57" s="15">
        <v>4.0</v>
      </c>
      <c r="BU57" s="15">
        <v>3.0</v>
      </c>
      <c r="BV57" s="15">
        <v>4.0</v>
      </c>
      <c r="BW57" s="15">
        <v>3.0</v>
      </c>
      <c r="BX57" s="15">
        <v>4.0</v>
      </c>
      <c r="BY57" s="15">
        <v>4.0</v>
      </c>
      <c r="BZ57" s="15">
        <v>4.0</v>
      </c>
      <c r="CA57" s="15">
        <v>4.0</v>
      </c>
      <c r="CB57" s="23">
        <f t="shared" si="10"/>
        <v>45</v>
      </c>
      <c r="CC57" s="24">
        <v>28.0</v>
      </c>
      <c r="CD57" s="18">
        <v>25.0</v>
      </c>
      <c r="CE57" s="18">
        <v>27.0</v>
      </c>
      <c r="CF57" s="19">
        <v>22.0</v>
      </c>
      <c r="CG57" s="19">
        <v>18.0</v>
      </c>
      <c r="CH57" s="20">
        <v>25.0</v>
      </c>
      <c r="CI57" s="25">
        <v>18.0</v>
      </c>
      <c r="CJ57" s="25">
        <v>27.0</v>
      </c>
      <c r="CK57" s="26" t="str">
        <f t="shared" si="11"/>
        <v>Intrapersonal Intelligence</v>
      </c>
      <c r="CL57" s="26"/>
    </row>
    <row r="58" ht="22.5" customHeight="1">
      <c r="A58" s="14">
        <v>46034.69034162037</v>
      </c>
      <c r="B58" s="15" t="s">
        <v>96</v>
      </c>
      <c r="C58" s="15" t="s">
        <v>90</v>
      </c>
      <c r="D58" s="15" t="s">
        <v>111</v>
      </c>
      <c r="E58" s="15" t="s">
        <v>97</v>
      </c>
      <c r="F58" s="16"/>
      <c r="G58" s="15">
        <v>1.0</v>
      </c>
      <c r="H58" s="15">
        <v>3.0</v>
      </c>
      <c r="I58" s="15">
        <v>5.0</v>
      </c>
      <c r="J58" s="15">
        <v>4.0</v>
      </c>
      <c r="K58" s="17">
        <f t="shared" si="1"/>
        <v>13</v>
      </c>
      <c r="L58" s="15">
        <v>5.0</v>
      </c>
      <c r="M58" s="15">
        <v>5.0</v>
      </c>
      <c r="N58" s="15">
        <v>5.0</v>
      </c>
      <c r="O58" s="15">
        <v>5.0</v>
      </c>
      <c r="P58" s="15">
        <v>5.0</v>
      </c>
      <c r="Q58" s="15">
        <v>5.0</v>
      </c>
      <c r="R58" s="18">
        <f t="shared" si="2"/>
        <v>30</v>
      </c>
      <c r="S58" s="15">
        <v>5.0</v>
      </c>
      <c r="T58" s="15">
        <v>5.0</v>
      </c>
      <c r="U58" s="15">
        <v>2.0</v>
      </c>
      <c r="V58" s="15">
        <v>3.0</v>
      </c>
      <c r="W58" s="15">
        <v>1.0</v>
      </c>
      <c r="X58" s="15">
        <v>5.0</v>
      </c>
      <c r="Y58" s="18">
        <f t="shared" si="3"/>
        <v>21</v>
      </c>
      <c r="Z58" s="15">
        <v>1.0</v>
      </c>
      <c r="AA58" s="15">
        <v>1.0</v>
      </c>
      <c r="AB58" s="15">
        <v>1.0</v>
      </c>
      <c r="AC58" s="15">
        <v>1.0</v>
      </c>
      <c r="AD58" s="15">
        <v>5.0</v>
      </c>
      <c r="AE58" s="15">
        <v>5.0</v>
      </c>
      <c r="AF58" s="18">
        <f t="shared" si="4"/>
        <v>14</v>
      </c>
      <c r="AG58" s="15">
        <v>5.0</v>
      </c>
      <c r="AH58" s="15">
        <v>1.0</v>
      </c>
      <c r="AI58" s="15">
        <v>5.0</v>
      </c>
      <c r="AJ58" s="15">
        <v>1.0</v>
      </c>
      <c r="AK58" s="15">
        <v>5.0</v>
      </c>
      <c r="AL58" s="15">
        <v>5.0</v>
      </c>
      <c r="AM58" s="19">
        <f t="shared" si="5"/>
        <v>22</v>
      </c>
      <c r="AN58" s="15">
        <v>5.0</v>
      </c>
      <c r="AO58" s="15">
        <v>5.0</v>
      </c>
      <c r="AP58" s="15">
        <v>5.0</v>
      </c>
      <c r="AQ58" s="15">
        <v>5.0</v>
      </c>
      <c r="AR58" s="15">
        <v>5.0</v>
      </c>
      <c r="AS58" s="15">
        <v>5.0</v>
      </c>
      <c r="AT58" s="19">
        <f t="shared" si="6"/>
        <v>30</v>
      </c>
      <c r="AU58" s="15">
        <v>3.0</v>
      </c>
      <c r="AV58" s="15">
        <v>3.0</v>
      </c>
      <c r="AW58" s="15">
        <v>3.0</v>
      </c>
      <c r="AX58" s="15">
        <v>3.0</v>
      </c>
      <c r="AY58" s="15">
        <v>3.0</v>
      </c>
      <c r="AZ58" s="15">
        <v>3.0</v>
      </c>
      <c r="BA58" s="20">
        <f t="shared" si="7"/>
        <v>18</v>
      </c>
      <c r="BB58" s="15">
        <v>3.0</v>
      </c>
      <c r="BC58" s="15">
        <v>2.0</v>
      </c>
      <c r="BD58" s="15">
        <v>5.0</v>
      </c>
      <c r="BE58" s="15">
        <v>5.0</v>
      </c>
      <c r="BF58" s="15">
        <v>2.0</v>
      </c>
      <c r="BG58" s="15">
        <v>5.0</v>
      </c>
      <c r="BH58" s="21">
        <f t="shared" si="8"/>
        <v>22</v>
      </c>
      <c r="BI58" s="15">
        <v>3.0</v>
      </c>
      <c r="BJ58" s="15">
        <v>3.0</v>
      </c>
      <c r="BK58" s="15">
        <v>3.0</v>
      </c>
      <c r="BL58" s="15">
        <v>3.0</v>
      </c>
      <c r="BM58" s="15">
        <v>3.0</v>
      </c>
      <c r="BN58" s="15">
        <v>3.0</v>
      </c>
      <c r="BO58" s="21">
        <f t="shared" si="9"/>
        <v>18</v>
      </c>
      <c r="BP58" s="22">
        <v>4.0</v>
      </c>
      <c r="BQ58" s="15">
        <v>4.0</v>
      </c>
      <c r="BR58" s="15">
        <v>4.0</v>
      </c>
      <c r="BS58" s="15">
        <v>4.0</v>
      </c>
      <c r="BT58" s="15">
        <v>5.0</v>
      </c>
      <c r="BU58" s="15">
        <v>3.0</v>
      </c>
      <c r="BV58" s="15">
        <v>4.0</v>
      </c>
      <c r="BW58" s="15">
        <v>4.0</v>
      </c>
      <c r="BX58" s="15">
        <v>4.0</v>
      </c>
      <c r="BY58" s="15">
        <v>4.0</v>
      </c>
      <c r="BZ58" s="15">
        <v>4.0</v>
      </c>
      <c r="CA58" s="15">
        <v>4.0</v>
      </c>
      <c r="CB58" s="23">
        <f t="shared" si="10"/>
        <v>48</v>
      </c>
      <c r="CC58" s="24">
        <v>30.0</v>
      </c>
      <c r="CD58" s="18">
        <v>21.0</v>
      </c>
      <c r="CE58" s="18">
        <v>14.0</v>
      </c>
      <c r="CF58" s="19">
        <v>22.0</v>
      </c>
      <c r="CG58" s="19">
        <v>30.0</v>
      </c>
      <c r="CH58" s="20">
        <v>18.0</v>
      </c>
      <c r="CI58" s="25">
        <v>22.0</v>
      </c>
      <c r="CJ58" s="25">
        <v>18.0</v>
      </c>
      <c r="CK58" s="26" t="str">
        <f t="shared" si="11"/>
        <v>Intrapersonal Intelligence</v>
      </c>
      <c r="CL58" s="26"/>
    </row>
    <row r="59" ht="22.5" customHeight="1">
      <c r="A59" s="14">
        <v>46034.749215902775</v>
      </c>
      <c r="B59" s="15" t="s">
        <v>96</v>
      </c>
      <c r="C59" s="15" t="s">
        <v>90</v>
      </c>
      <c r="D59" s="15" t="s">
        <v>111</v>
      </c>
      <c r="E59" s="15" t="s">
        <v>97</v>
      </c>
      <c r="F59" s="27"/>
      <c r="G59" s="15">
        <v>4.0</v>
      </c>
      <c r="H59" s="15">
        <v>5.0</v>
      </c>
      <c r="I59" s="15">
        <v>3.0</v>
      </c>
      <c r="J59" s="15">
        <v>3.0</v>
      </c>
      <c r="K59" s="17">
        <f t="shared" si="1"/>
        <v>15</v>
      </c>
      <c r="L59" s="15">
        <v>5.0</v>
      </c>
      <c r="M59" s="15">
        <v>4.0</v>
      </c>
      <c r="N59" s="15">
        <v>5.0</v>
      </c>
      <c r="O59" s="15">
        <v>4.0</v>
      </c>
      <c r="P59" s="15">
        <v>4.0</v>
      </c>
      <c r="Q59" s="15">
        <v>4.0</v>
      </c>
      <c r="R59" s="18">
        <f t="shared" si="2"/>
        <v>26</v>
      </c>
      <c r="S59" s="15">
        <v>3.0</v>
      </c>
      <c r="T59" s="15">
        <v>3.0</v>
      </c>
      <c r="U59" s="15">
        <v>2.0</v>
      </c>
      <c r="V59" s="15">
        <v>2.0</v>
      </c>
      <c r="W59" s="15">
        <v>2.0</v>
      </c>
      <c r="X59" s="15">
        <v>3.0</v>
      </c>
      <c r="Y59" s="18">
        <f t="shared" si="3"/>
        <v>15</v>
      </c>
      <c r="Z59" s="15">
        <v>2.0</v>
      </c>
      <c r="AA59" s="15">
        <v>2.0</v>
      </c>
      <c r="AB59" s="15">
        <v>2.0</v>
      </c>
      <c r="AC59" s="15">
        <v>2.0</v>
      </c>
      <c r="AD59" s="15">
        <v>2.0</v>
      </c>
      <c r="AE59" s="15">
        <v>2.0</v>
      </c>
      <c r="AF59" s="18">
        <f t="shared" si="4"/>
        <v>12</v>
      </c>
      <c r="AG59" s="15">
        <v>3.0</v>
      </c>
      <c r="AH59" s="15">
        <v>2.0</v>
      </c>
      <c r="AI59" s="15">
        <v>2.0</v>
      </c>
      <c r="AJ59" s="15">
        <v>2.0</v>
      </c>
      <c r="AK59" s="15">
        <v>3.0</v>
      </c>
      <c r="AL59" s="15">
        <v>3.0</v>
      </c>
      <c r="AM59" s="19">
        <f t="shared" si="5"/>
        <v>15</v>
      </c>
      <c r="AN59" s="15">
        <v>4.0</v>
      </c>
      <c r="AO59" s="15">
        <v>5.0</v>
      </c>
      <c r="AP59" s="15">
        <v>4.0</v>
      </c>
      <c r="AQ59" s="15">
        <v>4.0</v>
      </c>
      <c r="AR59" s="15">
        <v>4.0</v>
      </c>
      <c r="AS59" s="15">
        <v>4.0</v>
      </c>
      <c r="AT59" s="19">
        <f t="shared" si="6"/>
        <v>25</v>
      </c>
      <c r="AU59" s="15">
        <v>4.0</v>
      </c>
      <c r="AV59" s="15">
        <v>3.0</v>
      </c>
      <c r="AW59" s="15">
        <v>3.0</v>
      </c>
      <c r="AX59" s="15">
        <v>4.0</v>
      </c>
      <c r="AY59" s="15">
        <v>3.0</v>
      </c>
      <c r="AZ59" s="15">
        <v>3.0</v>
      </c>
      <c r="BA59" s="20">
        <f t="shared" si="7"/>
        <v>20</v>
      </c>
      <c r="BB59" s="15">
        <v>4.0</v>
      </c>
      <c r="BC59" s="15">
        <v>3.0</v>
      </c>
      <c r="BD59" s="15">
        <v>3.0</v>
      </c>
      <c r="BE59" s="15">
        <v>3.0</v>
      </c>
      <c r="BF59" s="15">
        <v>4.0</v>
      </c>
      <c r="BG59" s="15">
        <v>3.0</v>
      </c>
      <c r="BH59" s="21">
        <f t="shared" si="8"/>
        <v>20</v>
      </c>
      <c r="BI59" s="15">
        <v>3.0</v>
      </c>
      <c r="BJ59" s="15">
        <v>4.0</v>
      </c>
      <c r="BK59" s="15">
        <v>4.0</v>
      </c>
      <c r="BL59" s="15">
        <v>5.0</v>
      </c>
      <c r="BM59" s="15">
        <v>4.0</v>
      </c>
      <c r="BN59" s="15">
        <v>3.0</v>
      </c>
      <c r="BO59" s="21">
        <f t="shared" si="9"/>
        <v>23</v>
      </c>
      <c r="BP59" s="22">
        <v>4.0</v>
      </c>
      <c r="BQ59" s="15">
        <v>5.0</v>
      </c>
      <c r="BR59" s="15">
        <v>5.0</v>
      </c>
      <c r="BS59" s="15">
        <v>5.0</v>
      </c>
      <c r="BT59" s="15">
        <v>4.0</v>
      </c>
      <c r="BU59" s="15">
        <v>4.0</v>
      </c>
      <c r="BV59" s="15">
        <v>5.0</v>
      </c>
      <c r="BW59" s="15">
        <v>4.0</v>
      </c>
      <c r="BX59" s="15">
        <v>5.0</v>
      </c>
      <c r="BY59" s="15">
        <v>5.0</v>
      </c>
      <c r="BZ59" s="15">
        <v>5.0</v>
      </c>
      <c r="CA59" s="15">
        <v>5.0</v>
      </c>
      <c r="CB59" s="23">
        <f t="shared" si="10"/>
        <v>56</v>
      </c>
      <c r="CC59" s="24">
        <v>26.0</v>
      </c>
      <c r="CD59" s="18">
        <v>15.0</v>
      </c>
      <c r="CE59" s="18">
        <v>12.0</v>
      </c>
      <c r="CF59" s="19">
        <v>15.0</v>
      </c>
      <c r="CG59" s="19">
        <v>25.0</v>
      </c>
      <c r="CH59" s="20">
        <v>20.0</v>
      </c>
      <c r="CI59" s="25">
        <v>20.0</v>
      </c>
      <c r="CJ59" s="25">
        <v>23.0</v>
      </c>
      <c r="CK59" s="26" t="str">
        <f t="shared" si="11"/>
        <v>Intrapersonal Intelligence</v>
      </c>
      <c r="CL59" s="26"/>
    </row>
    <row r="60" ht="22.5" customHeight="1">
      <c r="A60" s="14">
        <v>46034.761666921295</v>
      </c>
      <c r="B60" s="15" t="s">
        <v>89</v>
      </c>
      <c r="C60" s="15" t="s">
        <v>90</v>
      </c>
      <c r="D60" s="15" t="s">
        <v>111</v>
      </c>
      <c r="E60" s="15" t="s">
        <v>92</v>
      </c>
      <c r="F60" s="16" t="s">
        <v>115</v>
      </c>
      <c r="G60" s="15">
        <v>3.0</v>
      </c>
      <c r="H60" s="15">
        <v>3.0</v>
      </c>
      <c r="I60" s="15">
        <v>3.0</v>
      </c>
      <c r="J60" s="15">
        <v>3.0</v>
      </c>
      <c r="K60" s="17">
        <f t="shared" si="1"/>
        <v>12</v>
      </c>
      <c r="L60" s="15">
        <v>5.0</v>
      </c>
      <c r="M60" s="15">
        <v>4.0</v>
      </c>
      <c r="N60" s="15">
        <v>4.0</v>
      </c>
      <c r="O60" s="15">
        <v>5.0</v>
      </c>
      <c r="P60" s="15">
        <v>5.0</v>
      </c>
      <c r="Q60" s="15">
        <v>5.0</v>
      </c>
      <c r="R60" s="18">
        <f t="shared" si="2"/>
        <v>28</v>
      </c>
      <c r="S60" s="15">
        <v>5.0</v>
      </c>
      <c r="T60" s="15">
        <v>5.0</v>
      </c>
      <c r="U60" s="15">
        <v>5.0</v>
      </c>
      <c r="V60" s="15">
        <v>5.0</v>
      </c>
      <c r="W60" s="15">
        <v>5.0</v>
      </c>
      <c r="X60" s="15">
        <v>4.0</v>
      </c>
      <c r="Y60" s="18">
        <f t="shared" si="3"/>
        <v>29</v>
      </c>
      <c r="Z60" s="15">
        <v>5.0</v>
      </c>
      <c r="AA60" s="15">
        <v>4.0</v>
      </c>
      <c r="AB60" s="15">
        <v>5.0</v>
      </c>
      <c r="AC60" s="15">
        <v>5.0</v>
      </c>
      <c r="AD60" s="15">
        <v>4.0</v>
      </c>
      <c r="AE60" s="15">
        <v>5.0</v>
      </c>
      <c r="AF60" s="18">
        <f t="shared" si="4"/>
        <v>28</v>
      </c>
      <c r="AG60" s="15">
        <v>5.0</v>
      </c>
      <c r="AH60" s="15">
        <v>5.0</v>
      </c>
      <c r="AI60" s="15">
        <v>5.0</v>
      </c>
      <c r="AJ60" s="15">
        <v>5.0</v>
      </c>
      <c r="AK60" s="15">
        <v>5.0</v>
      </c>
      <c r="AL60" s="15">
        <v>5.0</v>
      </c>
      <c r="AM60" s="19">
        <f t="shared" si="5"/>
        <v>30</v>
      </c>
      <c r="AN60" s="15">
        <v>5.0</v>
      </c>
      <c r="AO60" s="15">
        <v>5.0</v>
      </c>
      <c r="AP60" s="15">
        <v>5.0</v>
      </c>
      <c r="AQ60" s="15">
        <v>5.0</v>
      </c>
      <c r="AR60" s="15">
        <v>5.0</v>
      </c>
      <c r="AS60" s="15">
        <v>5.0</v>
      </c>
      <c r="AT60" s="19">
        <f t="shared" si="6"/>
        <v>30</v>
      </c>
      <c r="AU60" s="15">
        <v>5.0</v>
      </c>
      <c r="AV60" s="15">
        <v>5.0</v>
      </c>
      <c r="AW60" s="15">
        <v>5.0</v>
      </c>
      <c r="AX60" s="15">
        <v>5.0</v>
      </c>
      <c r="AY60" s="15">
        <v>5.0</v>
      </c>
      <c r="AZ60" s="15">
        <v>5.0</v>
      </c>
      <c r="BA60" s="20">
        <f t="shared" si="7"/>
        <v>30</v>
      </c>
      <c r="BB60" s="15">
        <v>5.0</v>
      </c>
      <c r="BC60" s="15">
        <v>5.0</v>
      </c>
      <c r="BD60" s="15">
        <v>5.0</v>
      </c>
      <c r="BE60" s="15">
        <v>5.0</v>
      </c>
      <c r="BF60" s="15">
        <v>5.0</v>
      </c>
      <c r="BG60" s="15">
        <v>5.0</v>
      </c>
      <c r="BH60" s="21">
        <f t="shared" si="8"/>
        <v>30</v>
      </c>
      <c r="BI60" s="15">
        <v>5.0</v>
      </c>
      <c r="BJ60" s="15">
        <v>5.0</v>
      </c>
      <c r="BK60" s="15">
        <v>5.0</v>
      </c>
      <c r="BL60" s="15">
        <v>5.0</v>
      </c>
      <c r="BM60" s="15">
        <v>5.0</v>
      </c>
      <c r="BN60" s="15">
        <v>5.0</v>
      </c>
      <c r="BO60" s="21">
        <f t="shared" si="9"/>
        <v>30</v>
      </c>
      <c r="BP60" s="22">
        <v>5.0</v>
      </c>
      <c r="BQ60" s="15">
        <v>5.0</v>
      </c>
      <c r="BR60" s="15">
        <v>5.0</v>
      </c>
      <c r="BS60" s="15">
        <v>5.0</v>
      </c>
      <c r="BT60" s="15">
        <v>5.0</v>
      </c>
      <c r="BU60" s="15">
        <v>5.0</v>
      </c>
      <c r="BV60" s="15">
        <v>5.0</v>
      </c>
      <c r="BW60" s="15">
        <v>5.0</v>
      </c>
      <c r="BX60" s="15">
        <v>5.0</v>
      </c>
      <c r="BY60" s="15">
        <v>5.0</v>
      </c>
      <c r="BZ60" s="15">
        <v>5.0</v>
      </c>
      <c r="CA60" s="15">
        <v>5.0</v>
      </c>
      <c r="CB60" s="23">
        <f t="shared" si="10"/>
        <v>60</v>
      </c>
      <c r="CC60" s="24">
        <v>28.0</v>
      </c>
      <c r="CD60" s="18">
        <v>29.0</v>
      </c>
      <c r="CE60" s="18">
        <v>28.0</v>
      </c>
      <c r="CF60" s="19">
        <v>30.0</v>
      </c>
      <c r="CG60" s="19">
        <v>30.0</v>
      </c>
      <c r="CH60" s="20">
        <v>30.0</v>
      </c>
      <c r="CI60" s="25">
        <v>30.0</v>
      </c>
      <c r="CJ60" s="25">
        <v>30.0</v>
      </c>
      <c r="CK60" s="26" t="str">
        <f t="shared" si="11"/>
        <v>Bodily–Kinesthetic Intelligence</v>
      </c>
      <c r="CL60" s="26"/>
    </row>
    <row r="61" ht="22.5" customHeight="1">
      <c r="A61" s="14">
        <v>46034.79343856481</v>
      </c>
      <c r="B61" s="15" t="s">
        <v>89</v>
      </c>
      <c r="C61" s="15" t="s">
        <v>90</v>
      </c>
      <c r="D61" s="15" t="s">
        <v>111</v>
      </c>
      <c r="E61" s="15" t="s">
        <v>92</v>
      </c>
      <c r="F61" s="16" t="s">
        <v>116</v>
      </c>
      <c r="G61" s="15">
        <v>4.0</v>
      </c>
      <c r="H61" s="15">
        <v>4.0</v>
      </c>
      <c r="I61" s="15">
        <v>5.0</v>
      </c>
      <c r="J61" s="15">
        <v>5.0</v>
      </c>
      <c r="K61" s="17">
        <f t="shared" si="1"/>
        <v>18</v>
      </c>
      <c r="L61" s="15">
        <v>5.0</v>
      </c>
      <c r="M61" s="15">
        <v>4.0</v>
      </c>
      <c r="N61" s="15">
        <v>3.0</v>
      </c>
      <c r="O61" s="15">
        <v>3.0</v>
      </c>
      <c r="P61" s="15">
        <v>5.0</v>
      </c>
      <c r="Q61" s="15">
        <v>5.0</v>
      </c>
      <c r="R61" s="18">
        <f t="shared" si="2"/>
        <v>25</v>
      </c>
      <c r="S61" s="15">
        <v>3.0</v>
      </c>
      <c r="T61" s="15">
        <v>5.0</v>
      </c>
      <c r="U61" s="15">
        <v>4.0</v>
      </c>
      <c r="V61" s="15">
        <v>5.0</v>
      </c>
      <c r="W61" s="15">
        <v>4.0</v>
      </c>
      <c r="X61" s="15">
        <v>4.0</v>
      </c>
      <c r="Y61" s="18">
        <f t="shared" si="3"/>
        <v>25</v>
      </c>
      <c r="Z61" s="15">
        <v>2.0</v>
      </c>
      <c r="AA61" s="15">
        <v>2.0</v>
      </c>
      <c r="AB61" s="15">
        <v>3.0</v>
      </c>
      <c r="AC61" s="15">
        <v>4.0</v>
      </c>
      <c r="AD61" s="15">
        <v>3.0</v>
      </c>
      <c r="AE61" s="15">
        <v>3.0</v>
      </c>
      <c r="AF61" s="18">
        <f t="shared" si="4"/>
        <v>17</v>
      </c>
      <c r="AG61" s="15">
        <v>3.0</v>
      </c>
      <c r="AH61" s="15">
        <v>3.0</v>
      </c>
      <c r="AI61" s="15">
        <v>3.0</v>
      </c>
      <c r="AJ61" s="15">
        <v>3.0</v>
      </c>
      <c r="AK61" s="15">
        <v>3.0</v>
      </c>
      <c r="AL61" s="15">
        <v>3.0</v>
      </c>
      <c r="AM61" s="19">
        <f t="shared" si="5"/>
        <v>18</v>
      </c>
      <c r="AN61" s="15">
        <v>4.0</v>
      </c>
      <c r="AO61" s="15">
        <v>3.0</v>
      </c>
      <c r="AP61" s="15">
        <v>3.0</v>
      </c>
      <c r="AQ61" s="15">
        <v>4.0</v>
      </c>
      <c r="AR61" s="15">
        <v>5.0</v>
      </c>
      <c r="AS61" s="15">
        <v>3.0</v>
      </c>
      <c r="AT61" s="19">
        <f t="shared" si="6"/>
        <v>22</v>
      </c>
      <c r="AU61" s="15">
        <v>5.0</v>
      </c>
      <c r="AV61" s="15">
        <v>3.0</v>
      </c>
      <c r="AW61" s="15">
        <v>2.0</v>
      </c>
      <c r="AX61" s="15">
        <v>4.0</v>
      </c>
      <c r="AY61" s="15">
        <v>3.0</v>
      </c>
      <c r="AZ61" s="15">
        <v>3.0</v>
      </c>
      <c r="BA61" s="20">
        <f t="shared" si="7"/>
        <v>20</v>
      </c>
      <c r="BB61" s="15">
        <v>3.0</v>
      </c>
      <c r="BC61" s="15">
        <v>3.0</v>
      </c>
      <c r="BD61" s="15">
        <v>4.0</v>
      </c>
      <c r="BE61" s="15">
        <v>5.0</v>
      </c>
      <c r="BF61" s="15">
        <v>4.0</v>
      </c>
      <c r="BG61" s="15">
        <v>5.0</v>
      </c>
      <c r="BH61" s="21">
        <f t="shared" si="8"/>
        <v>24</v>
      </c>
      <c r="BI61" s="15">
        <v>2.0</v>
      </c>
      <c r="BJ61" s="15">
        <v>4.0</v>
      </c>
      <c r="BK61" s="15">
        <v>3.0</v>
      </c>
      <c r="BL61" s="15">
        <v>2.0</v>
      </c>
      <c r="BM61" s="15">
        <v>3.0</v>
      </c>
      <c r="BN61" s="15">
        <v>3.0</v>
      </c>
      <c r="BO61" s="21">
        <f t="shared" si="9"/>
        <v>17</v>
      </c>
      <c r="BP61" s="22">
        <v>4.0</v>
      </c>
      <c r="BQ61" s="15">
        <v>3.0</v>
      </c>
      <c r="BR61" s="15">
        <v>4.0</v>
      </c>
      <c r="BS61" s="15">
        <v>3.0</v>
      </c>
      <c r="BT61" s="15">
        <v>4.0</v>
      </c>
      <c r="BU61" s="15">
        <v>4.0</v>
      </c>
      <c r="BV61" s="15">
        <v>4.0</v>
      </c>
      <c r="BW61" s="15">
        <v>4.0</v>
      </c>
      <c r="BX61" s="15">
        <v>4.0</v>
      </c>
      <c r="BY61" s="15">
        <v>4.0</v>
      </c>
      <c r="BZ61" s="15">
        <v>4.0</v>
      </c>
      <c r="CA61" s="15">
        <v>4.0</v>
      </c>
      <c r="CB61" s="23">
        <f t="shared" si="10"/>
        <v>46</v>
      </c>
      <c r="CC61" s="24">
        <v>25.0</v>
      </c>
      <c r="CD61" s="18">
        <v>25.0</v>
      </c>
      <c r="CE61" s="18">
        <v>17.0</v>
      </c>
      <c r="CF61" s="19">
        <v>18.0</v>
      </c>
      <c r="CG61" s="19">
        <v>22.0</v>
      </c>
      <c r="CH61" s="20">
        <v>20.0</v>
      </c>
      <c r="CI61" s="25">
        <v>24.0</v>
      </c>
      <c r="CJ61" s="25">
        <v>17.0</v>
      </c>
      <c r="CK61" s="26" t="str">
        <f t="shared" si="11"/>
        <v>Intrapersonal Intelligence</v>
      </c>
      <c r="CL61" s="26"/>
    </row>
    <row r="62" ht="22.5" customHeight="1">
      <c r="A62" s="14">
        <v>46035.00045840278</v>
      </c>
      <c r="B62" s="15" t="s">
        <v>89</v>
      </c>
      <c r="C62" s="15" t="s">
        <v>90</v>
      </c>
      <c r="D62" s="15" t="s">
        <v>111</v>
      </c>
      <c r="E62" s="15" t="s">
        <v>97</v>
      </c>
      <c r="F62" s="27"/>
      <c r="G62" s="15">
        <v>5.0</v>
      </c>
      <c r="H62" s="15">
        <v>4.0</v>
      </c>
      <c r="I62" s="15">
        <v>5.0</v>
      </c>
      <c r="J62" s="15">
        <v>4.0</v>
      </c>
      <c r="K62" s="17">
        <f t="shared" si="1"/>
        <v>18</v>
      </c>
      <c r="L62" s="15">
        <v>5.0</v>
      </c>
      <c r="M62" s="15">
        <v>4.0</v>
      </c>
      <c r="N62" s="15">
        <v>4.0</v>
      </c>
      <c r="O62" s="15">
        <v>5.0</v>
      </c>
      <c r="P62" s="15">
        <v>4.0</v>
      </c>
      <c r="Q62" s="15">
        <v>4.0</v>
      </c>
      <c r="R62" s="18">
        <f t="shared" si="2"/>
        <v>26</v>
      </c>
      <c r="S62" s="15">
        <v>5.0</v>
      </c>
      <c r="T62" s="15">
        <v>4.0</v>
      </c>
      <c r="U62" s="15">
        <v>5.0</v>
      </c>
      <c r="V62" s="15">
        <v>3.0</v>
      </c>
      <c r="W62" s="15">
        <v>4.0</v>
      </c>
      <c r="X62" s="15">
        <v>3.0</v>
      </c>
      <c r="Y62" s="18">
        <f t="shared" si="3"/>
        <v>24</v>
      </c>
      <c r="Z62" s="15">
        <v>4.0</v>
      </c>
      <c r="AA62" s="15">
        <v>4.0</v>
      </c>
      <c r="AB62" s="15">
        <v>4.0</v>
      </c>
      <c r="AC62" s="15">
        <v>3.0</v>
      </c>
      <c r="AD62" s="15">
        <v>3.0</v>
      </c>
      <c r="AE62" s="15">
        <v>4.0</v>
      </c>
      <c r="AF62" s="18">
        <f t="shared" si="4"/>
        <v>22</v>
      </c>
      <c r="AG62" s="15">
        <v>4.0</v>
      </c>
      <c r="AH62" s="15">
        <v>4.0</v>
      </c>
      <c r="AI62" s="15">
        <v>5.0</v>
      </c>
      <c r="AJ62" s="15">
        <v>4.0</v>
      </c>
      <c r="AK62" s="15">
        <v>4.0</v>
      </c>
      <c r="AL62" s="15">
        <v>5.0</v>
      </c>
      <c r="AM62" s="19">
        <f t="shared" si="5"/>
        <v>26</v>
      </c>
      <c r="AN62" s="15">
        <v>5.0</v>
      </c>
      <c r="AO62" s="15">
        <v>5.0</v>
      </c>
      <c r="AP62" s="15">
        <v>4.0</v>
      </c>
      <c r="AQ62" s="15">
        <v>5.0</v>
      </c>
      <c r="AR62" s="15">
        <v>3.0</v>
      </c>
      <c r="AS62" s="15">
        <v>4.0</v>
      </c>
      <c r="AT62" s="19">
        <f t="shared" si="6"/>
        <v>26</v>
      </c>
      <c r="AU62" s="15">
        <v>4.0</v>
      </c>
      <c r="AV62" s="15">
        <v>3.0</v>
      </c>
      <c r="AW62" s="15">
        <v>4.0</v>
      </c>
      <c r="AX62" s="15">
        <v>4.0</v>
      </c>
      <c r="AY62" s="15">
        <v>4.0</v>
      </c>
      <c r="AZ62" s="15">
        <v>3.0</v>
      </c>
      <c r="BA62" s="20">
        <f t="shared" si="7"/>
        <v>22</v>
      </c>
      <c r="BB62" s="15">
        <v>4.0</v>
      </c>
      <c r="BC62" s="15">
        <v>3.0</v>
      </c>
      <c r="BD62" s="15">
        <v>4.0</v>
      </c>
      <c r="BE62" s="15">
        <v>4.0</v>
      </c>
      <c r="BF62" s="15">
        <v>3.0</v>
      </c>
      <c r="BG62" s="15">
        <v>4.0</v>
      </c>
      <c r="BH62" s="21">
        <f t="shared" si="8"/>
        <v>22</v>
      </c>
      <c r="BI62" s="15">
        <v>4.0</v>
      </c>
      <c r="BJ62" s="15">
        <v>3.0</v>
      </c>
      <c r="BK62" s="15">
        <v>3.0</v>
      </c>
      <c r="BL62" s="15">
        <v>3.0</v>
      </c>
      <c r="BM62" s="15">
        <v>5.0</v>
      </c>
      <c r="BN62" s="15">
        <v>4.0</v>
      </c>
      <c r="BO62" s="21">
        <f t="shared" si="9"/>
        <v>22</v>
      </c>
      <c r="BP62" s="22">
        <v>5.0</v>
      </c>
      <c r="BQ62" s="15">
        <v>5.0</v>
      </c>
      <c r="BR62" s="15">
        <v>5.0</v>
      </c>
      <c r="BS62" s="15">
        <v>4.0</v>
      </c>
      <c r="BT62" s="15">
        <v>3.0</v>
      </c>
      <c r="BU62" s="15">
        <v>4.0</v>
      </c>
      <c r="BV62" s="15">
        <v>5.0</v>
      </c>
      <c r="BW62" s="15">
        <v>5.0</v>
      </c>
      <c r="BX62" s="15">
        <v>4.0</v>
      </c>
      <c r="BY62" s="15">
        <v>4.0</v>
      </c>
      <c r="BZ62" s="15">
        <v>4.0</v>
      </c>
      <c r="CA62" s="15">
        <v>4.0</v>
      </c>
      <c r="CB62" s="23">
        <f t="shared" si="10"/>
        <v>52</v>
      </c>
      <c r="CC62" s="24">
        <v>26.0</v>
      </c>
      <c r="CD62" s="18">
        <v>24.0</v>
      </c>
      <c r="CE62" s="18">
        <v>22.0</v>
      </c>
      <c r="CF62" s="19">
        <v>26.0</v>
      </c>
      <c r="CG62" s="19">
        <v>26.0</v>
      </c>
      <c r="CH62" s="20">
        <v>22.0</v>
      </c>
      <c r="CI62" s="25">
        <v>22.0</v>
      </c>
      <c r="CJ62" s="25">
        <v>22.0</v>
      </c>
      <c r="CK62" s="26" t="str">
        <f t="shared" si="11"/>
        <v>Intrapersonal Intelligence</v>
      </c>
      <c r="CL62" s="26"/>
    </row>
    <row r="63" ht="22.5" customHeight="1">
      <c r="A63" s="14">
        <v>46035.207082685185</v>
      </c>
      <c r="B63" s="15" t="s">
        <v>89</v>
      </c>
      <c r="C63" s="15" t="s">
        <v>90</v>
      </c>
      <c r="D63" s="15" t="s">
        <v>111</v>
      </c>
      <c r="E63" s="15" t="s">
        <v>92</v>
      </c>
      <c r="F63" s="27"/>
      <c r="G63" s="15">
        <v>4.0</v>
      </c>
      <c r="H63" s="15">
        <v>5.0</v>
      </c>
      <c r="I63" s="15">
        <v>4.0</v>
      </c>
      <c r="J63" s="15">
        <v>4.0</v>
      </c>
      <c r="K63" s="17">
        <f t="shared" si="1"/>
        <v>17</v>
      </c>
      <c r="L63" s="15">
        <v>4.0</v>
      </c>
      <c r="M63" s="15">
        <v>4.0</v>
      </c>
      <c r="N63" s="15">
        <v>5.0</v>
      </c>
      <c r="O63" s="15">
        <v>4.0</v>
      </c>
      <c r="P63" s="15">
        <v>5.0</v>
      </c>
      <c r="Q63" s="15">
        <v>5.0</v>
      </c>
      <c r="R63" s="18">
        <f t="shared" si="2"/>
        <v>27</v>
      </c>
      <c r="S63" s="15">
        <v>3.0</v>
      </c>
      <c r="T63" s="15">
        <v>2.0</v>
      </c>
      <c r="U63" s="15">
        <v>2.0</v>
      </c>
      <c r="V63" s="15">
        <v>1.0</v>
      </c>
      <c r="W63" s="15">
        <v>1.0</v>
      </c>
      <c r="X63" s="15">
        <v>4.0</v>
      </c>
      <c r="Y63" s="18">
        <f t="shared" si="3"/>
        <v>13</v>
      </c>
      <c r="Z63" s="15">
        <v>4.0</v>
      </c>
      <c r="AA63" s="15">
        <v>4.0</v>
      </c>
      <c r="AB63" s="15">
        <v>4.0</v>
      </c>
      <c r="AC63" s="15">
        <v>3.0</v>
      </c>
      <c r="AD63" s="15">
        <v>4.0</v>
      </c>
      <c r="AE63" s="15">
        <v>4.0</v>
      </c>
      <c r="AF63" s="18">
        <f t="shared" si="4"/>
        <v>23</v>
      </c>
      <c r="AG63" s="15">
        <v>2.0</v>
      </c>
      <c r="AH63" s="15">
        <v>1.0</v>
      </c>
      <c r="AI63" s="15">
        <v>2.0</v>
      </c>
      <c r="AJ63" s="15">
        <v>2.0</v>
      </c>
      <c r="AK63" s="15">
        <v>3.0</v>
      </c>
      <c r="AL63" s="15">
        <v>2.0</v>
      </c>
      <c r="AM63" s="19">
        <f t="shared" si="5"/>
        <v>12</v>
      </c>
      <c r="AN63" s="15">
        <v>4.0</v>
      </c>
      <c r="AO63" s="15">
        <v>3.0</v>
      </c>
      <c r="AP63" s="15">
        <v>4.0</v>
      </c>
      <c r="AQ63" s="15">
        <v>4.0</v>
      </c>
      <c r="AR63" s="15">
        <v>2.0</v>
      </c>
      <c r="AS63" s="15">
        <v>2.0</v>
      </c>
      <c r="AT63" s="19">
        <f t="shared" si="6"/>
        <v>19</v>
      </c>
      <c r="AU63" s="15">
        <v>4.0</v>
      </c>
      <c r="AV63" s="15">
        <v>3.0</v>
      </c>
      <c r="AW63" s="15">
        <v>2.0</v>
      </c>
      <c r="AX63" s="15">
        <v>1.0</v>
      </c>
      <c r="AY63" s="15">
        <v>1.0</v>
      </c>
      <c r="AZ63" s="15">
        <v>1.0</v>
      </c>
      <c r="BA63" s="20">
        <f t="shared" si="7"/>
        <v>12</v>
      </c>
      <c r="BB63" s="15">
        <v>4.0</v>
      </c>
      <c r="BC63" s="15">
        <v>5.0</v>
      </c>
      <c r="BD63" s="15">
        <v>4.0</v>
      </c>
      <c r="BE63" s="15">
        <v>4.0</v>
      </c>
      <c r="BF63" s="15">
        <v>3.0</v>
      </c>
      <c r="BG63" s="15">
        <v>3.0</v>
      </c>
      <c r="BH63" s="21">
        <f t="shared" si="8"/>
        <v>23</v>
      </c>
      <c r="BI63" s="15">
        <v>3.0</v>
      </c>
      <c r="BJ63" s="15">
        <v>4.0</v>
      </c>
      <c r="BK63" s="15">
        <v>3.0</v>
      </c>
      <c r="BL63" s="15">
        <v>3.0</v>
      </c>
      <c r="BM63" s="15">
        <v>4.0</v>
      </c>
      <c r="BN63" s="15">
        <v>4.0</v>
      </c>
      <c r="BO63" s="21">
        <f t="shared" si="9"/>
        <v>21</v>
      </c>
      <c r="BP63" s="22">
        <v>2.0</v>
      </c>
      <c r="BQ63" s="15">
        <v>1.0</v>
      </c>
      <c r="BR63" s="15">
        <v>2.0</v>
      </c>
      <c r="BS63" s="15">
        <v>2.0</v>
      </c>
      <c r="BT63" s="15">
        <v>3.0</v>
      </c>
      <c r="BU63" s="15">
        <v>4.0</v>
      </c>
      <c r="BV63" s="15">
        <v>4.0</v>
      </c>
      <c r="BW63" s="15">
        <v>3.0</v>
      </c>
      <c r="BX63" s="15">
        <v>4.0</v>
      </c>
      <c r="BY63" s="15">
        <v>4.0</v>
      </c>
      <c r="BZ63" s="15">
        <v>3.0</v>
      </c>
      <c r="CA63" s="15">
        <v>3.0</v>
      </c>
      <c r="CB63" s="23">
        <f t="shared" si="10"/>
        <v>35</v>
      </c>
      <c r="CC63" s="24">
        <v>27.0</v>
      </c>
      <c r="CD63" s="18">
        <v>13.0</v>
      </c>
      <c r="CE63" s="18">
        <v>23.0</v>
      </c>
      <c r="CF63" s="19">
        <v>12.0</v>
      </c>
      <c r="CG63" s="19">
        <v>19.0</v>
      </c>
      <c r="CH63" s="20">
        <v>12.0</v>
      </c>
      <c r="CI63" s="25">
        <v>23.0</v>
      </c>
      <c r="CJ63" s="25">
        <v>21.0</v>
      </c>
      <c r="CK63" s="26" t="str">
        <f t="shared" si="11"/>
        <v>Intrapersonal Intelligence</v>
      </c>
      <c r="CL63" s="26"/>
    </row>
    <row r="64" ht="22.5" customHeight="1">
      <c r="A64" s="14">
        <v>46035.41210598379</v>
      </c>
      <c r="B64" s="15" t="s">
        <v>89</v>
      </c>
      <c r="C64" s="15" t="s">
        <v>90</v>
      </c>
      <c r="D64" s="15" t="s">
        <v>111</v>
      </c>
      <c r="E64" s="15" t="s">
        <v>108</v>
      </c>
      <c r="F64" s="16" t="s">
        <v>117</v>
      </c>
      <c r="G64" s="15">
        <v>3.0</v>
      </c>
      <c r="H64" s="15">
        <v>4.0</v>
      </c>
      <c r="I64" s="15">
        <v>1.0</v>
      </c>
      <c r="J64" s="15">
        <v>2.0</v>
      </c>
      <c r="K64" s="17">
        <f t="shared" si="1"/>
        <v>10</v>
      </c>
      <c r="L64" s="15">
        <v>4.0</v>
      </c>
      <c r="M64" s="15">
        <v>3.0</v>
      </c>
      <c r="N64" s="15">
        <v>4.0</v>
      </c>
      <c r="O64" s="15">
        <v>4.0</v>
      </c>
      <c r="P64" s="15">
        <v>5.0</v>
      </c>
      <c r="Q64" s="15">
        <v>4.0</v>
      </c>
      <c r="R64" s="18">
        <f t="shared" si="2"/>
        <v>24</v>
      </c>
      <c r="S64" s="15">
        <v>2.0</v>
      </c>
      <c r="T64" s="15">
        <v>2.0</v>
      </c>
      <c r="U64" s="15">
        <v>2.0</v>
      </c>
      <c r="V64" s="15">
        <v>2.0</v>
      </c>
      <c r="W64" s="15">
        <v>2.0</v>
      </c>
      <c r="X64" s="15">
        <v>5.0</v>
      </c>
      <c r="Y64" s="18">
        <f t="shared" si="3"/>
        <v>15</v>
      </c>
      <c r="Z64" s="15">
        <v>5.0</v>
      </c>
      <c r="AA64" s="15">
        <v>5.0</v>
      </c>
      <c r="AB64" s="15">
        <v>4.0</v>
      </c>
      <c r="AC64" s="15">
        <v>5.0</v>
      </c>
      <c r="AD64" s="15">
        <v>4.0</v>
      </c>
      <c r="AE64" s="15">
        <v>4.0</v>
      </c>
      <c r="AF64" s="18">
        <f t="shared" si="4"/>
        <v>27</v>
      </c>
      <c r="AG64" s="15">
        <v>3.0</v>
      </c>
      <c r="AH64" s="15">
        <v>2.0</v>
      </c>
      <c r="AI64" s="15">
        <v>4.0</v>
      </c>
      <c r="AJ64" s="15">
        <v>2.0</v>
      </c>
      <c r="AK64" s="15">
        <v>2.0</v>
      </c>
      <c r="AL64" s="15">
        <v>3.0</v>
      </c>
      <c r="AM64" s="19">
        <f t="shared" si="5"/>
        <v>16</v>
      </c>
      <c r="AN64" s="15">
        <v>3.0</v>
      </c>
      <c r="AO64" s="15">
        <v>3.0</v>
      </c>
      <c r="AP64" s="15">
        <v>2.0</v>
      </c>
      <c r="AQ64" s="15">
        <v>4.0</v>
      </c>
      <c r="AR64" s="15">
        <v>2.0</v>
      </c>
      <c r="AS64" s="15">
        <v>4.0</v>
      </c>
      <c r="AT64" s="19">
        <f t="shared" si="6"/>
        <v>18</v>
      </c>
      <c r="AU64" s="15">
        <v>5.0</v>
      </c>
      <c r="AV64" s="15">
        <v>4.0</v>
      </c>
      <c r="AW64" s="15">
        <v>3.0</v>
      </c>
      <c r="AX64" s="15">
        <v>4.0</v>
      </c>
      <c r="AY64" s="15">
        <v>4.0</v>
      </c>
      <c r="AZ64" s="15">
        <v>4.0</v>
      </c>
      <c r="BA64" s="20">
        <f t="shared" si="7"/>
        <v>24</v>
      </c>
      <c r="BB64" s="15">
        <v>3.0</v>
      </c>
      <c r="BC64" s="15">
        <v>3.0</v>
      </c>
      <c r="BD64" s="15">
        <v>4.0</v>
      </c>
      <c r="BE64" s="15">
        <v>3.0</v>
      </c>
      <c r="BF64" s="15">
        <v>1.0</v>
      </c>
      <c r="BG64" s="15">
        <v>2.0</v>
      </c>
      <c r="BH64" s="21">
        <f t="shared" si="8"/>
        <v>16</v>
      </c>
      <c r="BI64" s="15">
        <v>2.0</v>
      </c>
      <c r="BJ64" s="15">
        <v>4.0</v>
      </c>
      <c r="BK64" s="15">
        <v>2.0</v>
      </c>
      <c r="BL64" s="15">
        <v>2.0</v>
      </c>
      <c r="BM64" s="15">
        <v>4.0</v>
      </c>
      <c r="BN64" s="15">
        <v>2.0</v>
      </c>
      <c r="BO64" s="21">
        <f t="shared" si="9"/>
        <v>16</v>
      </c>
      <c r="BP64" s="22">
        <v>4.0</v>
      </c>
      <c r="BQ64" s="15">
        <v>4.0</v>
      </c>
      <c r="BR64" s="15">
        <v>4.0</v>
      </c>
      <c r="BS64" s="15">
        <v>3.0</v>
      </c>
      <c r="BT64" s="15">
        <v>2.0</v>
      </c>
      <c r="BU64" s="15">
        <v>2.0</v>
      </c>
      <c r="BV64" s="15">
        <v>3.0</v>
      </c>
      <c r="BW64" s="15">
        <v>3.0</v>
      </c>
      <c r="BX64" s="15">
        <v>3.0</v>
      </c>
      <c r="BY64" s="15">
        <v>2.0</v>
      </c>
      <c r="BZ64" s="15">
        <v>3.0</v>
      </c>
      <c r="CA64" s="15">
        <v>2.0</v>
      </c>
      <c r="CB64" s="23">
        <f t="shared" si="10"/>
        <v>35</v>
      </c>
      <c r="CC64" s="24">
        <v>24.0</v>
      </c>
      <c r="CD64" s="18">
        <v>15.0</v>
      </c>
      <c r="CE64" s="18">
        <v>27.0</v>
      </c>
      <c r="CF64" s="19">
        <v>16.0</v>
      </c>
      <c r="CG64" s="19">
        <v>18.0</v>
      </c>
      <c r="CH64" s="20">
        <v>24.0</v>
      </c>
      <c r="CI64" s="25">
        <v>16.0</v>
      </c>
      <c r="CJ64" s="25">
        <v>16.0</v>
      </c>
      <c r="CK64" s="26" t="str">
        <f t="shared" si="11"/>
        <v>Logical–Mathematical Intelligence</v>
      </c>
      <c r="CL64" s="26"/>
    </row>
    <row r="65" ht="22.5" customHeight="1">
      <c r="A65" s="14">
        <v>46035.57482391204</v>
      </c>
      <c r="B65" s="15" t="s">
        <v>96</v>
      </c>
      <c r="C65" s="15" t="s">
        <v>90</v>
      </c>
      <c r="D65" s="15" t="s">
        <v>111</v>
      </c>
      <c r="E65" s="15" t="s">
        <v>97</v>
      </c>
      <c r="F65" s="27"/>
      <c r="G65" s="15">
        <v>4.0</v>
      </c>
      <c r="H65" s="15">
        <v>4.0</v>
      </c>
      <c r="I65" s="15">
        <v>4.0</v>
      </c>
      <c r="J65" s="15">
        <v>4.0</v>
      </c>
      <c r="K65" s="17">
        <f t="shared" si="1"/>
        <v>16</v>
      </c>
      <c r="L65" s="15">
        <v>3.0</v>
      </c>
      <c r="M65" s="15">
        <v>4.0</v>
      </c>
      <c r="N65" s="15">
        <v>4.0</v>
      </c>
      <c r="O65" s="15">
        <v>4.0</v>
      </c>
      <c r="P65" s="15">
        <v>3.0</v>
      </c>
      <c r="Q65" s="15">
        <v>4.0</v>
      </c>
      <c r="R65" s="18">
        <f t="shared" si="2"/>
        <v>22</v>
      </c>
      <c r="S65" s="15">
        <v>3.0</v>
      </c>
      <c r="T65" s="15">
        <v>3.0</v>
      </c>
      <c r="U65" s="15">
        <v>4.0</v>
      </c>
      <c r="V65" s="15">
        <v>4.0</v>
      </c>
      <c r="W65" s="15">
        <v>3.0</v>
      </c>
      <c r="X65" s="15">
        <v>4.0</v>
      </c>
      <c r="Y65" s="18">
        <f t="shared" si="3"/>
        <v>21</v>
      </c>
      <c r="Z65" s="15">
        <v>3.0</v>
      </c>
      <c r="AA65" s="15">
        <v>3.0</v>
      </c>
      <c r="AB65" s="15">
        <v>4.0</v>
      </c>
      <c r="AC65" s="15">
        <v>4.0</v>
      </c>
      <c r="AD65" s="15">
        <v>4.0</v>
      </c>
      <c r="AE65" s="15">
        <v>4.0</v>
      </c>
      <c r="AF65" s="18">
        <f t="shared" si="4"/>
        <v>22</v>
      </c>
      <c r="AG65" s="15">
        <v>3.0</v>
      </c>
      <c r="AH65" s="15">
        <v>4.0</v>
      </c>
      <c r="AI65" s="15">
        <v>5.0</v>
      </c>
      <c r="AJ65" s="15">
        <v>3.0</v>
      </c>
      <c r="AK65" s="15">
        <v>3.0</v>
      </c>
      <c r="AL65" s="15">
        <v>3.0</v>
      </c>
      <c r="AM65" s="19">
        <f t="shared" si="5"/>
        <v>21</v>
      </c>
      <c r="AN65" s="15">
        <v>4.0</v>
      </c>
      <c r="AO65" s="15">
        <v>4.0</v>
      </c>
      <c r="AP65" s="15">
        <v>3.0</v>
      </c>
      <c r="AQ65" s="15">
        <v>3.0</v>
      </c>
      <c r="AR65" s="15">
        <v>3.0</v>
      </c>
      <c r="AS65" s="15">
        <v>4.0</v>
      </c>
      <c r="AT65" s="19">
        <f t="shared" si="6"/>
        <v>21</v>
      </c>
      <c r="AU65" s="15">
        <v>3.0</v>
      </c>
      <c r="AV65" s="15">
        <v>3.0</v>
      </c>
      <c r="AW65" s="15">
        <v>3.0</v>
      </c>
      <c r="AX65" s="15">
        <v>3.0</v>
      </c>
      <c r="AY65" s="15">
        <v>4.0</v>
      </c>
      <c r="AZ65" s="15">
        <v>3.0</v>
      </c>
      <c r="BA65" s="20">
        <f t="shared" si="7"/>
        <v>19</v>
      </c>
      <c r="BB65" s="15">
        <v>3.0</v>
      </c>
      <c r="BC65" s="15">
        <v>4.0</v>
      </c>
      <c r="BD65" s="15">
        <v>4.0</v>
      </c>
      <c r="BE65" s="15">
        <v>4.0</v>
      </c>
      <c r="BF65" s="15">
        <v>3.0</v>
      </c>
      <c r="BG65" s="15">
        <v>3.0</v>
      </c>
      <c r="BH65" s="21">
        <f t="shared" si="8"/>
        <v>21</v>
      </c>
      <c r="BI65" s="15">
        <v>4.0</v>
      </c>
      <c r="BJ65" s="15">
        <v>4.0</v>
      </c>
      <c r="BK65" s="15">
        <v>4.0</v>
      </c>
      <c r="BL65" s="15">
        <v>4.0</v>
      </c>
      <c r="BM65" s="15">
        <v>3.0</v>
      </c>
      <c r="BN65" s="15">
        <v>4.0</v>
      </c>
      <c r="BO65" s="21">
        <f t="shared" si="9"/>
        <v>23</v>
      </c>
      <c r="BP65" s="22">
        <v>4.0</v>
      </c>
      <c r="BQ65" s="15">
        <v>3.0</v>
      </c>
      <c r="BR65" s="15">
        <v>3.0</v>
      </c>
      <c r="BS65" s="15">
        <v>4.0</v>
      </c>
      <c r="BT65" s="15">
        <v>4.0</v>
      </c>
      <c r="BU65" s="15">
        <v>4.0</v>
      </c>
      <c r="BV65" s="15">
        <v>4.0</v>
      </c>
      <c r="BW65" s="15">
        <v>4.0</v>
      </c>
      <c r="BX65" s="15">
        <v>3.0</v>
      </c>
      <c r="BY65" s="15">
        <v>4.0</v>
      </c>
      <c r="BZ65" s="15">
        <v>3.0</v>
      </c>
      <c r="CA65" s="15">
        <v>4.0</v>
      </c>
      <c r="CB65" s="23">
        <f t="shared" si="10"/>
        <v>44</v>
      </c>
      <c r="CC65" s="24">
        <v>22.0</v>
      </c>
      <c r="CD65" s="18">
        <v>21.0</v>
      </c>
      <c r="CE65" s="18">
        <v>22.0</v>
      </c>
      <c r="CF65" s="19">
        <v>21.0</v>
      </c>
      <c r="CG65" s="19">
        <v>21.0</v>
      </c>
      <c r="CH65" s="20">
        <v>19.0</v>
      </c>
      <c r="CI65" s="25">
        <v>21.0</v>
      </c>
      <c r="CJ65" s="25">
        <v>23.0</v>
      </c>
      <c r="CK65" s="26" t="str">
        <f t="shared" si="11"/>
        <v>Musical Intelligence</v>
      </c>
      <c r="CL65" s="26"/>
    </row>
    <row r="66" ht="22.5" customHeight="1">
      <c r="A66" s="14">
        <v>46035.57512158564</v>
      </c>
      <c r="B66" s="15" t="s">
        <v>89</v>
      </c>
      <c r="C66" s="15" t="s">
        <v>90</v>
      </c>
      <c r="D66" s="15" t="s">
        <v>111</v>
      </c>
      <c r="E66" s="15" t="s">
        <v>92</v>
      </c>
      <c r="F66" s="27"/>
      <c r="G66" s="15">
        <v>2.0</v>
      </c>
      <c r="H66" s="15">
        <v>3.0</v>
      </c>
      <c r="I66" s="15">
        <v>4.0</v>
      </c>
      <c r="J66" s="15">
        <v>2.0</v>
      </c>
      <c r="K66" s="17">
        <f t="shared" si="1"/>
        <v>11</v>
      </c>
      <c r="L66" s="15">
        <v>2.0</v>
      </c>
      <c r="M66" s="15">
        <v>3.0</v>
      </c>
      <c r="N66" s="15">
        <v>3.0</v>
      </c>
      <c r="O66" s="15">
        <v>4.0</v>
      </c>
      <c r="P66" s="15">
        <v>2.0</v>
      </c>
      <c r="Q66" s="15">
        <v>3.0</v>
      </c>
      <c r="R66" s="18">
        <f t="shared" si="2"/>
        <v>17</v>
      </c>
      <c r="S66" s="15">
        <v>2.0</v>
      </c>
      <c r="T66" s="15">
        <v>3.0</v>
      </c>
      <c r="U66" s="15">
        <v>2.0</v>
      </c>
      <c r="V66" s="15">
        <v>4.0</v>
      </c>
      <c r="W66" s="15">
        <v>3.0</v>
      </c>
      <c r="X66" s="15">
        <v>4.0</v>
      </c>
      <c r="Y66" s="18">
        <f t="shared" si="3"/>
        <v>18</v>
      </c>
      <c r="Z66" s="15">
        <v>3.0</v>
      </c>
      <c r="AA66" s="15">
        <v>4.0</v>
      </c>
      <c r="AB66" s="15">
        <v>2.0</v>
      </c>
      <c r="AC66" s="15">
        <v>4.0</v>
      </c>
      <c r="AD66" s="15">
        <v>3.0</v>
      </c>
      <c r="AE66" s="15">
        <v>4.0</v>
      </c>
      <c r="AF66" s="18">
        <f t="shared" si="4"/>
        <v>20</v>
      </c>
      <c r="AG66" s="15">
        <v>3.0</v>
      </c>
      <c r="AH66" s="15">
        <v>4.0</v>
      </c>
      <c r="AI66" s="15">
        <v>2.0</v>
      </c>
      <c r="AJ66" s="15">
        <v>3.0</v>
      </c>
      <c r="AK66" s="15">
        <v>4.0</v>
      </c>
      <c r="AL66" s="15">
        <v>3.0</v>
      </c>
      <c r="AM66" s="19">
        <f t="shared" si="5"/>
        <v>19</v>
      </c>
      <c r="AN66" s="15">
        <v>4.0</v>
      </c>
      <c r="AO66" s="15">
        <v>5.0</v>
      </c>
      <c r="AP66" s="15">
        <v>4.0</v>
      </c>
      <c r="AQ66" s="15">
        <v>5.0</v>
      </c>
      <c r="AR66" s="15">
        <v>4.0</v>
      </c>
      <c r="AS66" s="15">
        <v>3.0</v>
      </c>
      <c r="AT66" s="19">
        <f t="shared" si="6"/>
        <v>25</v>
      </c>
      <c r="AU66" s="15">
        <v>3.0</v>
      </c>
      <c r="AV66" s="15">
        <v>3.0</v>
      </c>
      <c r="AW66" s="15">
        <v>4.0</v>
      </c>
      <c r="AX66" s="15">
        <v>3.0</v>
      </c>
      <c r="AY66" s="15">
        <v>3.0</v>
      </c>
      <c r="AZ66" s="15">
        <v>3.0</v>
      </c>
      <c r="BA66" s="20">
        <f t="shared" si="7"/>
        <v>19</v>
      </c>
      <c r="BB66" s="15">
        <v>4.0</v>
      </c>
      <c r="BC66" s="15">
        <v>5.0</v>
      </c>
      <c r="BD66" s="15">
        <v>5.0</v>
      </c>
      <c r="BE66" s="15">
        <v>3.0</v>
      </c>
      <c r="BF66" s="15">
        <v>5.0</v>
      </c>
      <c r="BG66" s="15">
        <v>4.0</v>
      </c>
      <c r="BH66" s="21">
        <f t="shared" si="8"/>
        <v>26</v>
      </c>
      <c r="BI66" s="15">
        <v>4.0</v>
      </c>
      <c r="BJ66" s="15">
        <v>5.0</v>
      </c>
      <c r="BK66" s="15">
        <v>4.0</v>
      </c>
      <c r="BL66" s="15">
        <v>4.0</v>
      </c>
      <c r="BM66" s="15">
        <v>4.0</v>
      </c>
      <c r="BN66" s="15">
        <v>5.0</v>
      </c>
      <c r="BO66" s="21">
        <f t="shared" si="9"/>
        <v>26</v>
      </c>
      <c r="BP66" s="22">
        <v>4.0</v>
      </c>
      <c r="BQ66" s="15">
        <v>5.0</v>
      </c>
      <c r="BR66" s="15">
        <v>4.0</v>
      </c>
      <c r="BS66" s="15">
        <v>5.0</v>
      </c>
      <c r="BT66" s="15">
        <v>4.0</v>
      </c>
      <c r="BU66" s="15">
        <v>3.0</v>
      </c>
      <c r="BV66" s="15">
        <v>5.0</v>
      </c>
      <c r="BW66" s="15">
        <v>5.0</v>
      </c>
      <c r="BX66" s="15">
        <v>4.0</v>
      </c>
      <c r="BY66" s="15">
        <v>3.0</v>
      </c>
      <c r="BZ66" s="15">
        <v>4.0</v>
      </c>
      <c r="CA66" s="15">
        <v>5.0</v>
      </c>
      <c r="CB66" s="23">
        <f t="shared" si="10"/>
        <v>51</v>
      </c>
      <c r="CC66" s="24">
        <v>17.0</v>
      </c>
      <c r="CD66" s="18">
        <v>18.0</v>
      </c>
      <c r="CE66" s="18">
        <v>20.0</v>
      </c>
      <c r="CF66" s="19">
        <v>19.0</v>
      </c>
      <c r="CG66" s="19">
        <v>25.0</v>
      </c>
      <c r="CH66" s="20">
        <v>19.0</v>
      </c>
      <c r="CI66" s="25">
        <v>26.0</v>
      </c>
      <c r="CJ66" s="25">
        <v>26.0</v>
      </c>
      <c r="CK66" s="26" t="str">
        <f t="shared" si="11"/>
        <v>Visual–Spatial Intelligence
</v>
      </c>
      <c r="CL66" s="26"/>
    </row>
    <row r="67" ht="22.5" customHeight="1">
      <c r="A67" s="14">
        <v>46035.57724284723</v>
      </c>
      <c r="B67" s="15" t="s">
        <v>89</v>
      </c>
      <c r="C67" s="15" t="s">
        <v>90</v>
      </c>
      <c r="D67" s="15" t="s">
        <v>111</v>
      </c>
      <c r="E67" s="15" t="s">
        <v>108</v>
      </c>
      <c r="F67" s="27"/>
      <c r="G67" s="15">
        <v>4.0</v>
      </c>
      <c r="H67" s="15">
        <v>4.0</v>
      </c>
      <c r="I67" s="15">
        <v>3.0</v>
      </c>
      <c r="J67" s="15">
        <v>4.0</v>
      </c>
      <c r="K67" s="17">
        <f t="shared" si="1"/>
        <v>15</v>
      </c>
      <c r="L67" s="15">
        <v>4.0</v>
      </c>
      <c r="M67" s="15">
        <v>3.0</v>
      </c>
      <c r="N67" s="15">
        <v>4.0</v>
      </c>
      <c r="O67" s="15">
        <v>4.0</v>
      </c>
      <c r="P67" s="15">
        <v>3.0</v>
      </c>
      <c r="Q67" s="15">
        <v>3.0</v>
      </c>
      <c r="R67" s="18">
        <f t="shared" si="2"/>
        <v>21</v>
      </c>
      <c r="S67" s="15">
        <v>3.0</v>
      </c>
      <c r="T67" s="15">
        <v>4.0</v>
      </c>
      <c r="U67" s="15">
        <v>4.0</v>
      </c>
      <c r="V67" s="15">
        <v>4.0</v>
      </c>
      <c r="W67" s="15">
        <v>3.0</v>
      </c>
      <c r="X67" s="15">
        <v>4.0</v>
      </c>
      <c r="Y67" s="18">
        <f t="shared" si="3"/>
        <v>22</v>
      </c>
      <c r="Z67" s="15">
        <v>4.0</v>
      </c>
      <c r="AA67" s="15">
        <v>4.0</v>
      </c>
      <c r="AB67" s="15">
        <v>4.0</v>
      </c>
      <c r="AC67" s="15">
        <v>3.0</v>
      </c>
      <c r="AD67" s="15">
        <v>4.0</v>
      </c>
      <c r="AE67" s="15">
        <v>4.0</v>
      </c>
      <c r="AF67" s="18">
        <f t="shared" si="4"/>
        <v>23</v>
      </c>
      <c r="AG67" s="15">
        <v>5.0</v>
      </c>
      <c r="AH67" s="15">
        <v>4.0</v>
      </c>
      <c r="AI67" s="15">
        <v>4.0</v>
      </c>
      <c r="AJ67" s="15">
        <v>4.0</v>
      </c>
      <c r="AK67" s="15">
        <v>4.0</v>
      </c>
      <c r="AL67" s="15">
        <v>4.0</v>
      </c>
      <c r="AM67" s="19">
        <f t="shared" si="5"/>
        <v>25</v>
      </c>
      <c r="AN67" s="15">
        <v>3.0</v>
      </c>
      <c r="AO67" s="15">
        <v>3.0</v>
      </c>
      <c r="AP67" s="15">
        <v>4.0</v>
      </c>
      <c r="AQ67" s="15">
        <v>4.0</v>
      </c>
      <c r="AR67" s="15">
        <v>4.0</v>
      </c>
      <c r="AS67" s="15">
        <v>3.0</v>
      </c>
      <c r="AT67" s="19">
        <f t="shared" si="6"/>
        <v>21</v>
      </c>
      <c r="AU67" s="15">
        <v>3.0</v>
      </c>
      <c r="AV67" s="15">
        <v>3.0</v>
      </c>
      <c r="AW67" s="15">
        <v>3.0</v>
      </c>
      <c r="AX67" s="15">
        <v>4.0</v>
      </c>
      <c r="AY67" s="15">
        <v>4.0</v>
      </c>
      <c r="AZ67" s="15">
        <v>4.0</v>
      </c>
      <c r="BA67" s="20">
        <f t="shared" si="7"/>
        <v>21</v>
      </c>
      <c r="BB67" s="15">
        <v>3.0</v>
      </c>
      <c r="BC67" s="15">
        <v>4.0</v>
      </c>
      <c r="BD67" s="15">
        <v>4.0</v>
      </c>
      <c r="BE67" s="15">
        <v>3.0</v>
      </c>
      <c r="BF67" s="15">
        <v>3.0</v>
      </c>
      <c r="BG67" s="15">
        <v>4.0</v>
      </c>
      <c r="BH67" s="21">
        <f t="shared" si="8"/>
        <v>21</v>
      </c>
      <c r="BI67" s="15">
        <v>5.0</v>
      </c>
      <c r="BJ67" s="15">
        <v>5.0</v>
      </c>
      <c r="BK67" s="15">
        <v>5.0</v>
      </c>
      <c r="BL67" s="15">
        <v>5.0</v>
      </c>
      <c r="BM67" s="15">
        <v>5.0</v>
      </c>
      <c r="BN67" s="15">
        <v>5.0</v>
      </c>
      <c r="BO67" s="21">
        <f t="shared" si="9"/>
        <v>30</v>
      </c>
      <c r="BP67" s="22">
        <v>3.0</v>
      </c>
      <c r="BQ67" s="15">
        <v>4.0</v>
      </c>
      <c r="BR67" s="15">
        <v>4.0</v>
      </c>
      <c r="BS67" s="15">
        <v>3.0</v>
      </c>
      <c r="BT67" s="15">
        <v>3.0</v>
      </c>
      <c r="BU67" s="15">
        <v>4.0</v>
      </c>
      <c r="BV67" s="15">
        <v>3.0</v>
      </c>
      <c r="BW67" s="15">
        <v>3.0</v>
      </c>
      <c r="BX67" s="15">
        <v>4.0</v>
      </c>
      <c r="BY67" s="15">
        <v>4.0</v>
      </c>
      <c r="BZ67" s="15">
        <v>4.0</v>
      </c>
      <c r="CA67" s="15">
        <v>4.0</v>
      </c>
      <c r="CB67" s="23">
        <f t="shared" si="10"/>
        <v>43</v>
      </c>
      <c r="CC67" s="24">
        <v>21.0</v>
      </c>
      <c r="CD67" s="18">
        <v>22.0</v>
      </c>
      <c r="CE67" s="18">
        <v>23.0</v>
      </c>
      <c r="CF67" s="19">
        <v>25.0</v>
      </c>
      <c r="CG67" s="19">
        <v>21.0</v>
      </c>
      <c r="CH67" s="20">
        <v>21.0</v>
      </c>
      <c r="CI67" s="25">
        <v>21.0</v>
      </c>
      <c r="CJ67" s="25">
        <v>30.0</v>
      </c>
      <c r="CK67" s="26" t="str">
        <f t="shared" si="11"/>
        <v>Musical Intelligence</v>
      </c>
      <c r="CL67" s="26"/>
    </row>
    <row r="68" ht="22.5" customHeight="1">
      <c r="A68" s="14">
        <v>46035.57924060185</v>
      </c>
      <c r="B68" s="15" t="s">
        <v>89</v>
      </c>
      <c r="C68" s="15" t="s">
        <v>90</v>
      </c>
      <c r="D68" s="15" t="s">
        <v>111</v>
      </c>
      <c r="E68" s="15" t="s">
        <v>97</v>
      </c>
      <c r="F68" s="27"/>
      <c r="G68" s="15">
        <v>4.0</v>
      </c>
      <c r="H68" s="15">
        <v>5.0</v>
      </c>
      <c r="I68" s="15">
        <v>3.0</v>
      </c>
      <c r="J68" s="15">
        <v>4.0</v>
      </c>
      <c r="K68" s="17">
        <f t="shared" si="1"/>
        <v>16</v>
      </c>
      <c r="L68" s="15">
        <v>5.0</v>
      </c>
      <c r="M68" s="15">
        <v>5.0</v>
      </c>
      <c r="N68" s="15">
        <v>5.0</v>
      </c>
      <c r="O68" s="15">
        <v>5.0</v>
      </c>
      <c r="P68" s="15">
        <v>4.0</v>
      </c>
      <c r="Q68" s="15">
        <v>5.0</v>
      </c>
      <c r="R68" s="18">
        <f t="shared" si="2"/>
        <v>29</v>
      </c>
      <c r="S68" s="15">
        <v>5.0</v>
      </c>
      <c r="T68" s="15">
        <v>5.0</v>
      </c>
      <c r="U68" s="15">
        <v>4.0</v>
      </c>
      <c r="V68" s="15">
        <v>4.0</v>
      </c>
      <c r="W68" s="15">
        <v>3.0</v>
      </c>
      <c r="X68" s="15">
        <v>5.0</v>
      </c>
      <c r="Y68" s="18">
        <f t="shared" si="3"/>
        <v>26</v>
      </c>
      <c r="Z68" s="15">
        <v>5.0</v>
      </c>
      <c r="AA68" s="15">
        <v>4.0</v>
      </c>
      <c r="AB68" s="15">
        <v>5.0</v>
      </c>
      <c r="AC68" s="15">
        <v>5.0</v>
      </c>
      <c r="AD68" s="15">
        <v>4.0</v>
      </c>
      <c r="AE68" s="15">
        <v>4.0</v>
      </c>
      <c r="AF68" s="18">
        <f t="shared" si="4"/>
        <v>27</v>
      </c>
      <c r="AG68" s="15">
        <v>5.0</v>
      </c>
      <c r="AH68" s="15">
        <v>4.0</v>
      </c>
      <c r="AI68" s="15">
        <v>4.0</v>
      </c>
      <c r="AJ68" s="15">
        <v>4.0</v>
      </c>
      <c r="AK68" s="15">
        <v>3.0</v>
      </c>
      <c r="AL68" s="15">
        <v>4.0</v>
      </c>
      <c r="AM68" s="19">
        <f t="shared" si="5"/>
        <v>24</v>
      </c>
      <c r="AN68" s="15">
        <v>5.0</v>
      </c>
      <c r="AO68" s="15">
        <v>5.0</v>
      </c>
      <c r="AP68" s="15">
        <v>5.0</v>
      </c>
      <c r="AQ68" s="15">
        <v>4.0</v>
      </c>
      <c r="AR68" s="15">
        <v>5.0</v>
      </c>
      <c r="AS68" s="15">
        <v>4.0</v>
      </c>
      <c r="AT68" s="19">
        <f t="shared" si="6"/>
        <v>28</v>
      </c>
      <c r="AU68" s="15">
        <v>5.0</v>
      </c>
      <c r="AV68" s="15">
        <v>5.0</v>
      </c>
      <c r="AW68" s="15">
        <v>4.0</v>
      </c>
      <c r="AX68" s="15">
        <v>3.0</v>
      </c>
      <c r="AY68" s="15">
        <v>4.0</v>
      </c>
      <c r="AZ68" s="15">
        <v>4.0</v>
      </c>
      <c r="BA68" s="20">
        <f t="shared" si="7"/>
        <v>25</v>
      </c>
      <c r="BB68" s="15">
        <v>3.0</v>
      </c>
      <c r="BC68" s="15">
        <v>5.0</v>
      </c>
      <c r="BD68" s="15">
        <v>5.0</v>
      </c>
      <c r="BE68" s="15">
        <v>4.0</v>
      </c>
      <c r="BF68" s="15">
        <v>5.0</v>
      </c>
      <c r="BG68" s="15">
        <v>4.0</v>
      </c>
      <c r="BH68" s="21">
        <f t="shared" si="8"/>
        <v>26</v>
      </c>
      <c r="BI68" s="15">
        <v>5.0</v>
      </c>
      <c r="BJ68" s="15">
        <v>5.0</v>
      </c>
      <c r="BK68" s="15">
        <v>5.0</v>
      </c>
      <c r="BL68" s="15">
        <v>4.0</v>
      </c>
      <c r="BM68" s="15">
        <v>5.0</v>
      </c>
      <c r="BN68" s="15">
        <v>5.0</v>
      </c>
      <c r="BO68" s="21">
        <f t="shared" si="9"/>
        <v>29</v>
      </c>
      <c r="BP68" s="22">
        <v>5.0</v>
      </c>
      <c r="BQ68" s="15">
        <v>4.0</v>
      </c>
      <c r="BR68" s="15">
        <v>4.0</v>
      </c>
      <c r="BS68" s="15">
        <v>5.0</v>
      </c>
      <c r="BT68" s="15">
        <v>5.0</v>
      </c>
      <c r="BU68" s="15">
        <v>4.0</v>
      </c>
      <c r="BV68" s="15">
        <v>4.0</v>
      </c>
      <c r="BW68" s="15">
        <v>5.0</v>
      </c>
      <c r="BX68" s="15">
        <v>4.0</v>
      </c>
      <c r="BY68" s="15">
        <v>4.0</v>
      </c>
      <c r="BZ68" s="15">
        <v>4.0</v>
      </c>
      <c r="CA68" s="15">
        <v>4.0</v>
      </c>
      <c r="CB68" s="23">
        <f t="shared" si="10"/>
        <v>52</v>
      </c>
      <c r="CC68" s="24">
        <v>29.0</v>
      </c>
      <c r="CD68" s="18">
        <v>26.0</v>
      </c>
      <c r="CE68" s="18">
        <v>27.0</v>
      </c>
      <c r="CF68" s="19">
        <v>24.0</v>
      </c>
      <c r="CG68" s="19">
        <v>28.0</v>
      </c>
      <c r="CH68" s="20">
        <v>25.0</v>
      </c>
      <c r="CI68" s="25">
        <v>26.0</v>
      </c>
      <c r="CJ68" s="25">
        <v>29.0</v>
      </c>
      <c r="CK68" s="26" t="str">
        <f t="shared" si="11"/>
        <v>Intrapersonal Intelligence</v>
      </c>
      <c r="CL68" s="26"/>
    </row>
    <row r="69" ht="22.5" customHeight="1">
      <c r="A69" s="14">
        <v>46035.580264930555</v>
      </c>
      <c r="B69" s="15" t="s">
        <v>89</v>
      </c>
      <c r="C69" s="15" t="s">
        <v>90</v>
      </c>
      <c r="D69" s="15" t="s">
        <v>111</v>
      </c>
      <c r="E69" s="15" t="s">
        <v>97</v>
      </c>
      <c r="F69" s="16" t="s">
        <v>118</v>
      </c>
      <c r="G69" s="15">
        <v>3.0</v>
      </c>
      <c r="H69" s="15">
        <v>5.0</v>
      </c>
      <c r="I69" s="15">
        <v>1.0</v>
      </c>
      <c r="J69" s="15">
        <v>1.0</v>
      </c>
      <c r="K69" s="17">
        <f t="shared" si="1"/>
        <v>10</v>
      </c>
      <c r="L69" s="15">
        <v>5.0</v>
      </c>
      <c r="M69" s="15">
        <v>5.0</v>
      </c>
      <c r="N69" s="15">
        <v>5.0</v>
      </c>
      <c r="O69" s="15">
        <v>5.0</v>
      </c>
      <c r="P69" s="15">
        <v>5.0</v>
      </c>
      <c r="Q69" s="15">
        <v>5.0</v>
      </c>
      <c r="R69" s="18">
        <f t="shared" si="2"/>
        <v>30</v>
      </c>
      <c r="S69" s="15">
        <v>5.0</v>
      </c>
      <c r="T69" s="15">
        <v>3.0</v>
      </c>
      <c r="U69" s="15">
        <v>3.0</v>
      </c>
      <c r="V69" s="15">
        <v>4.0</v>
      </c>
      <c r="W69" s="15">
        <v>4.0</v>
      </c>
      <c r="X69" s="15">
        <v>5.0</v>
      </c>
      <c r="Y69" s="18">
        <f t="shared" si="3"/>
        <v>24</v>
      </c>
      <c r="Z69" s="15">
        <v>3.0</v>
      </c>
      <c r="AA69" s="15">
        <v>3.0</v>
      </c>
      <c r="AB69" s="15">
        <v>3.0</v>
      </c>
      <c r="AC69" s="15">
        <v>5.0</v>
      </c>
      <c r="AD69" s="15">
        <v>4.0</v>
      </c>
      <c r="AE69" s="15">
        <v>4.0</v>
      </c>
      <c r="AF69" s="18">
        <f t="shared" si="4"/>
        <v>22</v>
      </c>
      <c r="AG69" s="15">
        <v>5.0</v>
      </c>
      <c r="AH69" s="15">
        <v>5.0</v>
      </c>
      <c r="AI69" s="15">
        <v>4.0</v>
      </c>
      <c r="AJ69" s="15">
        <v>5.0</v>
      </c>
      <c r="AK69" s="15">
        <v>4.0</v>
      </c>
      <c r="AL69" s="15">
        <v>4.0</v>
      </c>
      <c r="AM69" s="19">
        <f t="shared" si="5"/>
        <v>27</v>
      </c>
      <c r="AN69" s="15">
        <v>5.0</v>
      </c>
      <c r="AO69" s="15">
        <v>5.0</v>
      </c>
      <c r="AP69" s="15">
        <v>5.0</v>
      </c>
      <c r="AQ69" s="15">
        <v>5.0</v>
      </c>
      <c r="AR69" s="15">
        <v>5.0</v>
      </c>
      <c r="AS69" s="15">
        <v>5.0</v>
      </c>
      <c r="AT69" s="19">
        <f t="shared" si="6"/>
        <v>30</v>
      </c>
      <c r="AU69" s="15">
        <v>3.0</v>
      </c>
      <c r="AV69" s="15">
        <v>3.0</v>
      </c>
      <c r="AW69" s="15">
        <v>2.0</v>
      </c>
      <c r="AX69" s="15">
        <v>3.0</v>
      </c>
      <c r="AY69" s="15">
        <v>4.0</v>
      </c>
      <c r="AZ69" s="15">
        <v>3.0</v>
      </c>
      <c r="BA69" s="20">
        <f t="shared" si="7"/>
        <v>18</v>
      </c>
      <c r="BB69" s="15">
        <v>3.0</v>
      </c>
      <c r="BC69" s="15">
        <v>3.0</v>
      </c>
      <c r="BD69" s="15">
        <v>4.0</v>
      </c>
      <c r="BE69" s="15">
        <v>3.0</v>
      </c>
      <c r="BF69" s="15">
        <v>2.0</v>
      </c>
      <c r="BG69" s="15">
        <v>2.0</v>
      </c>
      <c r="BH69" s="21">
        <f t="shared" si="8"/>
        <v>17</v>
      </c>
      <c r="BI69" s="15">
        <v>3.0</v>
      </c>
      <c r="BJ69" s="15">
        <v>5.0</v>
      </c>
      <c r="BK69" s="15">
        <v>5.0</v>
      </c>
      <c r="BL69" s="15">
        <v>5.0</v>
      </c>
      <c r="BM69" s="15">
        <v>5.0</v>
      </c>
      <c r="BN69" s="15">
        <v>5.0</v>
      </c>
      <c r="BO69" s="21">
        <f t="shared" si="9"/>
        <v>28</v>
      </c>
      <c r="BP69" s="22">
        <v>4.0</v>
      </c>
      <c r="BQ69" s="15">
        <v>5.0</v>
      </c>
      <c r="BR69" s="15">
        <v>5.0</v>
      </c>
      <c r="BS69" s="15">
        <v>5.0</v>
      </c>
      <c r="BT69" s="15">
        <v>3.0</v>
      </c>
      <c r="BU69" s="15">
        <v>3.0</v>
      </c>
      <c r="BV69" s="15">
        <v>5.0</v>
      </c>
      <c r="BW69" s="15">
        <v>5.0</v>
      </c>
      <c r="BX69" s="15">
        <v>5.0</v>
      </c>
      <c r="BY69" s="15">
        <v>5.0</v>
      </c>
      <c r="BZ69" s="15">
        <v>5.0</v>
      </c>
      <c r="CA69" s="15">
        <v>5.0</v>
      </c>
      <c r="CB69" s="23">
        <f t="shared" si="10"/>
        <v>55</v>
      </c>
      <c r="CC69" s="24">
        <v>30.0</v>
      </c>
      <c r="CD69" s="18">
        <v>24.0</v>
      </c>
      <c r="CE69" s="18">
        <v>22.0</v>
      </c>
      <c r="CF69" s="19">
        <v>27.0</v>
      </c>
      <c r="CG69" s="19">
        <v>30.0</v>
      </c>
      <c r="CH69" s="20">
        <v>18.0</v>
      </c>
      <c r="CI69" s="25">
        <v>17.0</v>
      </c>
      <c r="CJ69" s="25">
        <v>28.0</v>
      </c>
      <c r="CK69" s="26" t="str">
        <f t="shared" si="11"/>
        <v>Intrapersonal Intelligence</v>
      </c>
      <c r="CL69" s="26"/>
    </row>
    <row r="70" ht="22.5" customHeight="1">
      <c r="A70" s="14">
        <v>46035.582941782406</v>
      </c>
      <c r="B70" s="15" t="s">
        <v>119</v>
      </c>
      <c r="C70" s="15" t="s">
        <v>90</v>
      </c>
      <c r="D70" s="15" t="s">
        <v>111</v>
      </c>
      <c r="E70" s="15" t="s">
        <v>97</v>
      </c>
      <c r="F70" s="16" t="s">
        <v>120</v>
      </c>
      <c r="G70" s="15">
        <v>5.0</v>
      </c>
      <c r="H70" s="15">
        <v>5.0</v>
      </c>
      <c r="I70" s="15">
        <v>4.0</v>
      </c>
      <c r="J70" s="15">
        <v>5.0</v>
      </c>
      <c r="K70" s="17">
        <f t="shared" si="1"/>
        <v>19</v>
      </c>
      <c r="L70" s="15">
        <v>3.0</v>
      </c>
      <c r="M70" s="15">
        <v>4.0</v>
      </c>
      <c r="N70" s="15">
        <v>5.0</v>
      </c>
      <c r="O70" s="15">
        <v>5.0</v>
      </c>
      <c r="P70" s="15">
        <v>5.0</v>
      </c>
      <c r="Q70" s="15">
        <v>5.0</v>
      </c>
      <c r="R70" s="18">
        <f t="shared" si="2"/>
        <v>27</v>
      </c>
      <c r="S70" s="15">
        <v>4.0</v>
      </c>
      <c r="T70" s="15">
        <v>2.0</v>
      </c>
      <c r="U70" s="15">
        <v>1.0</v>
      </c>
      <c r="V70" s="15">
        <v>1.0</v>
      </c>
      <c r="W70" s="15">
        <v>1.0</v>
      </c>
      <c r="X70" s="15">
        <v>3.0</v>
      </c>
      <c r="Y70" s="18">
        <f t="shared" si="3"/>
        <v>12</v>
      </c>
      <c r="Z70" s="15">
        <v>2.0</v>
      </c>
      <c r="AA70" s="15">
        <v>2.0</v>
      </c>
      <c r="AB70" s="15">
        <v>4.0</v>
      </c>
      <c r="AC70" s="15">
        <v>5.0</v>
      </c>
      <c r="AD70" s="15">
        <v>4.0</v>
      </c>
      <c r="AE70" s="15">
        <v>3.0</v>
      </c>
      <c r="AF70" s="18">
        <f t="shared" si="4"/>
        <v>20</v>
      </c>
      <c r="AG70" s="15">
        <v>1.0</v>
      </c>
      <c r="AH70" s="15">
        <v>4.0</v>
      </c>
      <c r="AI70" s="15">
        <v>2.0</v>
      </c>
      <c r="AJ70" s="15">
        <v>2.0</v>
      </c>
      <c r="AK70" s="15">
        <v>4.0</v>
      </c>
      <c r="AL70" s="15">
        <v>5.0</v>
      </c>
      <c r="AM70" s="19">
        <f t="shared" si="5"/>
        <v>18</v>
      </c>
      <c r="AN70" s="15">
        <v>5.0</v>
      </c>
      <c r="AO70" s="15">
        <v>5.0</v>
      </c>
      <c r="AP70" s="15">
        <v>5.0</v>
      </c>
      <c r="AQ70" s="15">
        <v>2.0</v>
      </c>
      <c r="AR70" s="15">
        <v>2.0</v>
      </c>
      <c r="AS70" s="15">
        <v>1.0</v>
      </c>
      <c r="AT70" s="19">
        <f t="shared" si="6"/>
        <v>20</v>
      </c>
      <c r="AU70" s="15">
        <v>5.0</v>
      </c>
      <c r="AV70" s="15">
        <v>5.0</v>
      </c>
      <c r="AW70" s="15">
        <v>5.0</v>
      </c>
      <c r="AX70" s="15">
        <v>4.0</v>
      </c>
      <c r="AY70" s="15">
        <v>4.0</v>
      </c>
      <c r="AZ70" s="15">
        <v>5.0</v>
      </c>
      <c r="BA70" s="20">
        <f t="shared" si="7"/>
        <v>28</v>
      </c>
      <c r="BB70" s="15">
        <v>5.0</v>
      </c>
      <c r="BC70" s="15">
        <v>4.0</v>
      </c>
      <c r="BD70" s="15">
        <v>4.0</v>
      </c>
      <c r="BE70" s="15">
        <v>3.0</v>
      </c>
      <c r="BF70" s="15">
        <v>4.0</v>
      </c>
      <c r="BG70" s="15">
        <v>1.0</v>
      </c>
      <c r="BH70" s="21">
        <f t="shared" si="8"/>
        <v>21</v>
      </c>
      <c r="BI70" s="15">
        <v>3.0</v>
      </c>
      <c r="BJ70" s="15">
        <v>5.0</v>
      </c>
      <c r="BK70" s="15">
        <v>4.0</v>
      </c>
      <c r="BL70" s="15">
        <v>5.0</v>
      </c>
      <c r="BM70" s="15">
        <v>4.0</v>
      </c>
      <c r="BN70" s="15">
        <v>4.0</v>
      </c>
      <c r="BO70" s="21">
        <f t="shared" si="9"/>
        <v>25</v>
      </c>
      <c r="BP70" s="22">
        <v>4.0</v>
      </c>
      <c r="BQ70" s="15">
        <v>5.0</v>
      </c>
      <c r="BR70" s="15">
        <v>4.0</v>
      </c>
      <c r="BS70" s="15">
        <v>5.0</v>
      </c>
      <c r="BT70" s="15">
        <v>3.0</v>
      </c>
      <c r="BU70" s="15">
        <v>4.0</v>
      </c>
      <c r="BV70" s="15">
        <v>5.0</v>
      </c>
      <c r="BW70" s="15">
        <v>3.0</v>
      </c>
      <c r="BX70" s="15">
        <v>4.0</v>
      </c>
      <c r="BY70" s="15">
        <v>4.0</v>
      </c>
      <c r="BZ70" s="15">
        <v>5.0</v>
      </c>
      <c r="CA70" s="15">
        <v>3.0</v>
      </c>
      <c r="CB70" s="23">
        <f t="shared" si="10"/>
        <v>49</v>
      </c>
      <c r="CC70" s="24">
        <v>27.0</v>
      </c>
      <c r="CD70" s="18">
        <v>12.0</v>
      </c>
      <c r="CE70" s="18">
        <v>20.0</v>
      </c>
      <c r="CF70" s="19">
        <v>18.0</v>
      </c>
      <c r="CG70" s="19">
        <v>20.0</v>
      </c>
      <c r="CH70" s="20">
        <v>28.0</v>
      </c>
      <c r="CI70" s="25">
        <v>21.0</v>
      </c>
      <c r="CJ70" s="25">
        <v>25.0</v>
      </c>
      <c r="CK70" s="26" t="str">
        <f t="shared" si="11"/>
        <v>Naturalistic Intelligence
</v>
      </c>
      <c r="CL70" s="26"/>
    </row>
    <row r="71" ht="22.5" customHeight="1">
      <c r="A71" s="14">
        <v>46035.5858290162</v>
      </c>
      <c r="B71" s="15" t="s">
        <v>89</v>
      </c>
      <c r="C71" s="15" t="s">
        <v>90</v>
      </c>
      <c r="D71" s="15" t="s">
        <v>111</v>
      </c>
      <c r="E71" s="15" t="s">
        <v>92</v>
      </c>
      <c r="F71" s="16" t="s">
        <v>121</v>
      </c>
      <c r="G71" s="15">
        <v>2.0</v>
      </c>
      <c r="H71" s="15">
        <v>4.0</v>
      </c>
      <c r="I71" s="15">
        <v>3.0</v>
      </c>
      <c r="J71" s="15">
        <v>3.0</v>
      </c>
      <c r="K71" s="17">
        <f t="shared" si="1"/>
        <v>12</v>
      </c>
      <c r="L71" s="15">
        <v>4.0</v>
      </c>
      <c r="M71" s="15">
        <v>4.0</v>
      </c>
      <c r="N71" s="15">
        <v>4.0</v>
      </c>
      <c r="O71" s="15">
        <v>3.0</v>
      </c>
      <c r="P71" s="15">
        <v>4.0</v>
      </c>
      <c r="Q71" s="15">
        <v>4.0</v>
      </c>
      <c r="R71" s="18">
        <f t="shared" si="2"/>
        <v>23</v>
      </c>
      <c r="S71" s="15">
        <v>3.0</v>
      </c>
      <c r="T71" s="15">
        <v>2.0</v>
      </c>
      <c r="U71" s="15">
        <v>3.0</v>
      </c>
      <c r="V71" s="15">
        <v>2.0</v>
      </c>
      <c r="W71" s="15">
        <v>2.0</v>
      </c>
      <c r="X71" s="15">
        <v>4.0</v>
      </c>
      <c r="Y71" s="18">
        <f t="shared" si="3"/>
        <v>16</v>
      </c>
      <c r="Z71" s="15">
        <v>2.0</v>
      </c>
      <c r="AA71" s="15">
        <v>2.0</v>
      </c>
      <c r="AB71" s="15">
        <v>4.0</v>
      </c>
      <c r="AC71" s="15">
        <v>2.0</v>
      </c>
      <c r="AD71" s="15">
        <v>3.0</v>
      </c>
      <c r="AE71" s="15">
        <v>3.0</v>
      </c>
      <c r="AF71" s="18">
        <f t="shared" si="4"/>
        <v>16</v>
      </c>
      <c r="AG71" s="15">
        <v>1.0</v>
      </c>
      <c r="AH71" s="15">
        <v>1.0</v>
      </c>
      <c r="AI71" s="15">
        <v>1.0</v>
      </c>
      <c r="AJ71" s="15">
        <v>1.0</v>
      </c>
      <c r="AK71" s="15">
        <v>3.0</v>
      </c>
      <c r="AL71" s="15">
        <v>3.0</v>
      </c>
      <c r="AM71" s="19">
        <f t="shared" si="5"/>
        <v>10</v>
      </c>
      <c r="AN71" s="15">
        <v>3.0</v>
      </c>
      <c r="AO71" s="15">
        <v>3.0</v>
      </c>
      <c r="AP71" s="15">
        <v>3.0</v>
      </c>
      <c r="AQ71" s="15">
        <v>3.0</v>
      </c>
      <c r="AR71" s="15">
        <v>3.0</v>
      </c>
      <c r="AS71" s="15">
        <v>3.0</v>
      </c>
      <c r="AT71" s="19">
        <f t="shared" si="6"/>
        <v>18</v>
      </c>
      <c r="AU71" s="15">
        <v>2.0</v>
      </c>
      <c r="AV71" s="15">
        <v>2.0</v>
      </c>
      <c r="AW71" s="15">
        <v>2.0</v>
      </c>
      <c r="AX71" s="15">
        <v>4.0</v>
      </c>
      <c r="AY71" s="15">
        <v>3.0</v>
      </c>
      <c r="AZ71" s="15">
        <v>3.0</v>
      </c>
      <c r="BA71" s="20">
        <f t="shared" si="7"/>
        <v>16</v>
      </c>
      <c r="BB71" s="15">
        <v>3.0</v>
      </c>
      <c r="BC71" s="15">
        <v>3.0</v>
      </c>
      <c r="BD71" s="15">
        <v>3.0</v>
      </c>
      <c r="BE71" s="15">
        <v>3.0</v>
      </c>
      <c r="BF71" s="15">
        <v>3.0</v>
      </c>
      <c r="BG71" s="15">
        <v>3.0</v>
      </c>
      <c r="BH71" s="21">
        <f t="shared" si="8"/>
        <v>18</v>
      </c>
      <c r="BI71" s="15">
        <v>4.0</v>
      </c>
      <c r="BJ71" s="15">
        <v>4.0</v>
      </c>
      <c r="BK71" s="15">
        <v>4.0</v>
      </c>
      <c r="BL71" s="15">
        <v>4.0</v>
      </c>
      <c r="BM71" s="15">
        <v>4.0</v>
      </c>
      <c r="BN71" s="15">
        <v>4.0</v>
      </c>
      <c r="BO71" s="21">
        <f t="shared" si="9"/>
        <v>24</v>
      </c>
      <c r="BP71" s="22">
        <v>4.0</v>
      </c>
      <c r="BQ71" s="15">
        <v>4.0</v>
      </c>
      <c r="BR71" s="15">
        <v>3.0</v>
      </c>
      <c r="BS71" s="15">
        <v>3.0</v>
      </c>
      <c r="BT71" s="15">
        <v>4.0</v>
      </c>
      <c r="BU71" s="15">
        <v>4.0</v>
      </c>
      <c r="BV71" s="15">
        <v>4.0</v>
      </c>
      <c r="BW71" s="15">
        <v>4.0</v>
      </c>
      <c r="BX71" s="15">
        <v>4.0</v>
      </c>
      <c r="BY71" s="15">
        <v>4.0</v>
      </c>
      <c r="BZ71" s="15">
        <v>4.0</v>
      </c>
      <c r="CA71" s="15">
        <v>4.0</v>
      </c>
      <c r="CB71" s="23">
        <f t="shared" si="10"/>
        <v>46</v>
      </c>
      <c r="CC71" s="24">
        <v>23.0</v>
      </c>
      <c r="CD71" s="18">
        <v>16.0</v>
      </c>
      <c r="CE71" s="18">
        <v>16.0</v>
      </c>
      <c r="CF71" s="19">
        <v>10.0</v>
      </c>
      <c r="CG71" s="19">
        <v>18.0</v>
      </c>
      <c r="CH71" s="20">
        <v>16.0</v>
      </c>
      <c r="CI71" s="25">
        <v>18.0</v>
      </c>
      <c r="CJ71" s="25">
        <v>24.0</v>
      </c>
      <c r="CK71" s="26" t="str">
        <f t="shared" si="11"/>
        <v>Musical Intelligence</v>
      </c>
      <c r="CL71" s="26"/>
    </row>
    <row r="72" ht="22.5" customHeight="1">
      <c r="A72" s="14">
        <v>46035.620067083335</v>
      </c>
      <c r="B72" s="15" t="s">
        <v>89</v>
      </c>
      <c r="C72" s="15" t="s">
        <v>90</v>
      </c>
      <c r="D72" s="15" t="s">
        <v>111</v>
      </c>
      <c r="E72" s="15" t="s">
        <v>92</v>
      </c>
      <c r="F72" s="27"/>
      <c r="G72" s="15">
        <v>3.0</v>
      </c>
      <c r="H72" s="15">
        <v>5.0</v>
      </c>
      <c r="I72" s="15">
        <v>4.0</v>
      </c>
      <c r="J72" s="15">
        <v>3.0</v>
      </c>
      <c r="K72" s="17">
        <f t="shared" si="1"/>
        <v>15</v>
      </c>
      <c r="L72" s="15">
        <v>4.0</v>
      </c>
      <c r="M72" s="15">
        <v>3.0</v>
      </c>
      <c r="N72" s="15">
        <v>4.0</v>
      </c>
      <c r="O72" s="15">
        <v>4.0</v>
      </c>
      <c r="P72" s="15">
        <v>4.0</v>
      </c>
      <c r="Q72" s="15">
        <v>3.0</v>
      </c>
      <c r="R72" s="18">
        <f t="shared" si="2"/>
        <v>22</v>
      </c>
      <c r="S72" s="15">
        <v>4.0</v>
      </c>
      <c r="T72" s="15">
        <v>3.0</v>
      </c>
      <c r="U72" s="15">
        <v>3.0</v>
      </c>
      <c r="V72" s="15">
        <v>4.0</v>
      </c>
      <c r="W72" s="15">
        <v>2.0</v>
      </c>
      <c r="X72" s="15">
        <v>5.0</v>
      </c>
      <c r="Y72" s="18">
        <f t="shared" si="3"/>
        <v>21</v>
      </c>
      <c r="Z72" s="15">
        <v>3.0</v>
      </c>
      <c r="AA72" s="15">
        <v>3.0</v>
      </c>
      <c r="AB72" s="15">
        <v>3.0</v>
      </c>
      <c r="AC72" s="15">
        <v>4.0</v>
      </c>
      <c r="AD72" s="15">
        <v>4.0</v>
      </c>
      <c r="AE72" s="15">
        <v>4.0</v>
      </c>
      <c r="AF72" s="18">
        <f t="shared" si="4"/>
        <v>21</v>
      </c>
      <c r="AG72" s="15">
        <v>3.0</v>
      </c>
      <c r="AH72" s="15">
        <v>4.0</v>
      </c>
      <c r="AI72" s="15">
        <v>5.0</v>
      </c>
      <c r="AJ72" s="15">
        <v>4.0</v>
      </c>
      <c r="AK72" s="15">
        <v>4.0</v>
      </c>
      <c r="AL72" s="15">
        <v>3.0</v>
      </c>
      <c r="AM72" s="19">
        <f t="shared" si="5"/>
        <v>23</v>
      </c>
      <c r="AN72" s="15">
        <v>3.0</v>
      </c>
      <c r="AO72" s="15">
        <v>3.0</v>
      </c>
      <c r="AP72" s="15">
        <v>4.0</v>
      </c>
      <c r="AQ72" s="15">
        <v>3.0</v>
      </c>
      <c r="AR72" s="15">
        <v>4.0</v>
      </c>
      <c r="AS72" s="15">
        <v>3.0</v>
      </c>
      <c r="AT72" s="19">
        <f t="shared" si="6"/>
        <v>20</v>
      </c>
      <c r="AU72" s="15">
        <v>4.0</v>
      </c>
      <c r="AV72" s="15">
        <v>3.0</v>
      </c>
      <c r="AW72" s="15">
        <v>3.0</v>
      </c>
      <c r="AX72" s="15">
        <v>3.0</v>
      </c>
      <c r="AY72" s="15">
        <v>4.0</v>
      </c>
      <c r="AZ72" s="15">
        <v>4.0</v>
      </c>
      <c r="BA72" s="20">
        <f t="shared" si="7"/>
        <v>21</v>
      </c>
      <c r="BB72" s="15">
        <v>3.0</v>
      </c>
      <c r="BC72" s="15">
        <v>4.0</v>
      </c>
      <c r="BD72" s="15">
        <v>4.0</v>
      </c>
      <c r="BE72" s="15">
        <v>3.0</v>
      </c>
      <c r="BF72" s="15">
        <v>2.0</v>
      </c>
      <c r="BG72" s="15">
        <v>3.0</v>
      </c>
      <c r="BH72" s="21">
        <f t="shared" si="8"/>
        <v>19</v>
      </c>
      <c r="BI72" s="15">
        <v>4.0</v>
      </c>
      <c r="BJ72" s="15">
        <v>4.0</v>
      </c>
      <c r="BK72" s="15">
        <v>3.0</v>
      </c>
      <c r="BL72" s="15">
        <v>4.0</v>
      </c>
      <c r="BM72" s="15">
        <v>4.0</v>
      </c>
      <c r="BN72" s="15">
        <v>3.0</v>
      </c>
      <c r="BO72" s="21">
        <f t="shared" si="9"/>
        <v>22</v>
      </c>
      <c r="BP72" s="22">
        <v>3.0</v>
      </c>
      <c r="BQ72" s="15">
        <v>3.0</v>
      </c>
      <c r="BR72" s="15">
        <v>4.0</v>
      </c>
      <c r="BS72" s="15">
        <v>3.0</v>
      </c>
      <c r="BT72" s="15">
        <v>4.0</v>
      </c>
      <c r="BU72" s="15">
        <v>4.0</v>
      </c>
      <c r="BV72" s="15">
        <v>3.0</v>
      </c>
      <c r="BW72" s="15">
        <v>3.0</v>
      </c>
      <c r="BX72" s="15">
        <v>3.0</v>
      </c>
      <c r="BY72" s="15">
        <v>3.0</v>
      </c>
      <c r="BZ72" s="15">
        <v>3.0</v>
      </c>
      <c r="CA72" s="15">
        <v>3.0</v>
      </c>
      <c r="CB72" s="23">
        <f t="shared" si="10"/>
        <v>39</v>
      </c>
      <c r="CC72" s="24">
        <v>22.0</v>
      </c>
      <c r="CD72" s="18">
        <v>21.0</v>
      </c>
      <c r="CE72" s="18">
        <v>21.0</v>
      </c>
      <c r="CF72" s="19">
        <v>23.0</v>
      </c>
      <c r="CG72" s="19">
        <v>20.0</v>
      </c>
      <c r="CH72" s="20">
        <v>21.0</v>
      </c>
      <c r="CI72" s="25">
        <v>19.0</v>
      </c>
      <c r="CJ72" s="25">
        <v>22.0</v>
      </c>
      <c r="CK72" s="26" t="str">
        <f t="shared" si="11"/>
        <v>Bodily–Kinesthetic Intelligence</v>
      </c>
      <c r="CL72" s="26"/>
    </row>
    <row r="73" ht="22.5" customHeight="1">
      <c r="A73" s="14">
        <v>46035.620261689815</v>
      </c>
      <c r="B73" s="15" t="s">
        <v>89</v>
      </c>
      <c r="C73" s="15" t="s">
        <v>90</v>
      </c>
      <c r="D73" s="15" t="s">
        <v>111</v>
      </c>
      <c r="E73" s="15" t="s">
        <v>97</v>
      </c>
      <c r="F73" s="16" t="s">
        <v>122</v>
      </c>
      <c r="G73" s="15">
        <v>4.0</v>
      </c>
      <c r="H73" s="15">
        <v>4.0</v>
      </c>
      <c r="I73" s="15">
        <v>4.0</v>
      </c>
      <c r="J73" s="15">
        <v>4.0</v>
      </c>
      <c r="K73" s="17">
        <f t="shared" si="1"/>
        <v>16</v>
      </c>
      <c r="L73" s="15">
        <v>4.0</v>
      </c>
      <c r="M73" s="15">
        <v>5.0</v>
      </c>
      <c r="N73" s="15">
        <v>4.0</v>
      </c>
      <c r="O73" s="15">
        <v>5.0</v>
      </c>
      <c r="P73" s="15">
        <v>5.0</v>
      </c>
      <c r="Q73" s="15">
        <v>4.0</v>
      </c>
      <c r="R73" s="18">
        <f t="shared" si="2"/>
        <v>27</v>
      </c>
      <c r="S73" s="15">
        <v>5.0</v>
      </c>
      <c r="T73" s="15">
        <v>4.0</v>
      </c>
      <c r="U73" s="15">
        <v>4.0</v>
      </c>
      <c r="V73" s="15">
        <v>3.0</v>
      </c>
      <c r="W73" s="15">
        <v>3.0</v>
      </c>
      <c r="X73" s="15">
        <v>4.0</v>
      </c>
      <c r="Y73" s="18">
        <f t="shared" si="3"/>
        <v>23</v>
      </c>
      <c r="Z73" s="15">
        <v>2.0</v>
      </c>
      <c r="AA73" s="15">
        <v>2.0</v>
      </c>
      <c r="AB73" s="15">
        <v>2.0</v>
      </c>
      <c r="AC73" s="15">
        <v>2.0</v>
      </c>
      <c r="AD73" s="15">
        <v>2.0</v>
      </c>
      <c r="AE73" s="15">
        <v>2.0</v>
      </c>
      <c r="AF73" s="18">
        <f t="shared" si="4"/>
        <v>12</v>
      </c>
      <c r="AG73" s="15">
        <v>3.0</v>
      </c>
      <c r="AH73" s="15">
        <v>2.0</v>
      </c>
      <c r="AI73" s="15">
        <v>4.0</v>
      </c>
      <c r="AJ73" s="15">
        <v>3.0</v>
      </c>
      <c r="AK73" s="15">
        <v>4.0</v>
      </c>
      <c r="AL73" s="15">
        <v>5.0</v>
      </c>
      <c r="AM73" s="19">
        <f t="shared" si="5"/>
        <v>21</v>
      </c>
      <c r="AN73" s="15">
        <v>3.0</v>
      </c>
      <c r="AO73" s="15">
        <v>3.0</v>
      </c>
      <c r="AP73" s="15">
        <v>4.0</v>
      </c>
      <c r="AQ73" s="15">
        <v>3.0</v>
      </c>
      <c r="AR73" s="15">
        <v>4.0</v>
      </c>
      <c r="AS73" s="15">
        <v>3.0</v>
      </c>
      <c r="AT73" s="19">
        <f t="shared" si="6"/>
        <v>20</v>
      </c>
      <c r="AU73" s="15">
        <v>5.0</v>
      </c>
      <c r="AV73" s="15">
        <v>3.0</v>
      </c>
      <c r="AW73" s="15">
        <v>2.0</v>
      </c>
      <c r="AX73" s="15">
        <v>5.0</v>
      </c>
      <c r="AY73" s="15">
        <v>3.0</v>
      </c>
      <c r="AZ73" s="15">
        <v>2.0</v>
      </c>
      <c r="BA73" s="20">
        <f t="shared" si="7"/>
        <v>20</v>
      </c>
      <c r="BB73" s="15">
        <v>5.0</v>
      </c>
      <c r="BC73" s="15">
        <v>3.0</v>
      </c>
      <c r="BD73" s="15">
        <v>5.0</v>
      </c>
      <c r="BE73" s="15">
        <v>4.0</v>
      </c>
      <c r="BF73" s="15">
        <v>4.0</v>
      </c>
      <c r="BG73" s="15">
        <v>4.0</v>
      </c>
      <c r="BH73" s="21">
        <f t="shared" si="8"/>
        <v>25</v>
      </c>
      <c r="BI73" s="15">
        <v>3.0</v>
      </c>
      <c r="BJ73" s="15">
        <v>3.0</v>
      </c>
      <c r="BK73" s="15">
        <v>3.0</v>
      </c>
      <c r="BL73" s="15">
        <v>3.0</v>
      </c>
      <c r="BM73" s="15">
        <v>3.0</v>
      </c>
      <c r="BN73" s="15">
        <v>3.0</v>
      </c>
      <c r="BO73" s="21">
        <f t="shared" si="9"/>
        <v>18</v>
      </c>
      <c r="BP73" s="22">
        <v>4.0</v>
      </c>
      <c r="BQ73" s="15">
        <v>4.0</v>
      </c>
      <c r="BR73" s="15">
        <v>4.0</v>
      </c>
      <c r="BS73" s="15">
        <v>3.0</v>
      </c>
      <c r="BT73" s="15">
        <v>4.0</v>
      </c>
      <c r="BU73" s="15">
        <v>4.0</v>
      </c>
      <c r="BV73" s="15">
        <v>5.0</v>
      </c>
      <c r="BW73" s="15">
        <v>4.0</v>
      </c>
      <c r="BX73" s="15">
        <v>4.0</v>
      </c>
      <c r="BY73" s="15">
        <v>4.0</v>
      </c>
      <c r="BZ73" s="15">
        <v>4.0</v>
      </c>
      <c r="CA73" s="15">
        <v>4.0</v>
      </c>
      <c r="CB73" s="23">
        <f t="shared" si="10"/>
        <v>48</v>
      </c>
      <c r="CC73" s="24">
        <v>27.0</v>
      </c>
      <c r="CD73" s="18">
        <v>23.0</v>
      </c>
      <c r="CE73" s="18">
        <v>12.0</v>
      </c>
      <c r="CF73" s="19">
        <v>21.0</v>
      </c>
      <c r="CG73" s="19">
        <v>20.0</v>
      </c>
      <c r="CH73" s="20">
        <v>20.0</v>
      </c>
      <c r="CI73" s="25">
        <v>25.0</v>
      </c>
      <c r="CJ73" s="25">
        <v>18.0</v>
      </c>
      <c r="CK73" s="26" t="str">
        <f t="shared" si="11"/>
        <v>Intrapersonal Intelligence</v>
      </c>
      <c r="CL73" s="26"/>
    </row>
    <row r="74" ht="22.5" customHeight="1">
      <c r="A74" s="14">
        <v>46035.62370841435</v>
      </c>
      <c r="B74" s="15" t="s">
        <v>96</v>
      </c>
      <c r="C74" s="15" t="s">
        <v>90</v>
      </c>
      <c r="D74" s="15" t="s">
        <v>111</v>
      </c>
      <c r="E74" s="15" t="s">
        <v>97</v>
      </c>
      <c r="F74" s="16" t="s">
        <v>123</v>
      </c>
      <c r="G74" s="15">
        <v>3.0</v>
      </c>
      <c r="H74" s="15">
        <v>5.0</v>
      </c>
      <c r="I74" s="15">
        <v>3.0</v>
      </c>
      <c r="J74" s="15">
        <v>5.0</v>
      </c>
      <c r="K74" s="17">
        <f t="shared" si="1"/>
        <v>16</v>
      </c>
      <c r="L74" s="15">
        <v>5.0</v>
      </c>
      <c r="M74" s="15">
        <v>4.0</v>
      </c>
      <c r="N74" s="15">
        <v>4.0</v>
      </c>
      <c r="O74" s="15">
        <v>5.0</v>
      </c>
      <c r="P74" s="15">
        <v>3.0</v>
      </c>
      <c r="Q74" s="15">
        <v>5.0</v>
      </c>
      <c r="R74" s="18">
        <f t="shared" si="2"/>
        <v>26</v>
      </c>
      <c r="S74" s="15">
        <v>4.0</v>
      </c>
      <c r="T74" s="15">
        <v>3.0</v>
      </c>
      <c r="U74" s="15">
        <v>3.0</v>
      </c>
      <c r="V74" s="15">
        <v>3.0</v>
      </c>
      <c r="W74" s="15">
        <v>3.0</v>
      </c>
      <c r="X74" s="15">
        <v>5.0</v>
      </c>
      <c r="Y74" s="18">
        <f t="shared" si="3"/>
        <v>21</v>
      </c>
      <c r="Z74" s="15">
        <v>3.0</v>
      </c>
      <c r="AA74" s="15">
        <v>3.0</v>
      </c>
      <c r="AB74" s="15">
        <v>3.0</v>
      </c>
      <c r="AC74" s="15">
        <v>4.0</v>
      </c>
      <c r="AD74" s="15">
        <v>3.0</v>
      </c>
      <c r="AE74" s="15">
        <v>5.0</v>
      </c>
      <c r="AF74" s="18">
        <f t="shared" si="4"/>
        <v>21</v>
      </c>
      <c r="AG74" s="15">
        <v>4.0</v>
      </c>
      <c r="AH74" s="15">
        <v>5.0</v>
      </c>
      <c r="AI74" s="15">
        <v>5.0</v>
      </c>
      <c r="AJ74" s="15">
        <v>5.0</v>
      </c>
      <c r="AK74" s="15">
        <v>5.0</v>
      </c>
      <c r="AL74" s="15">
        <v>5.0</v>
      </c>
      <c r="AM74" s="19">
        <f t="shared" si="5"/>
        <v>29</v>
      </c>
      <c r="AN74" s="15">
        <v>4.0</v>
      </c>
      <c r="AO74" s="15">
        <v>4.0</v>
      </c>
      <c r="AP74" s="15">
        <v>4.0</v>
      </c>
      <c r="AQ74" s="15">
        <v>3.0</v>
      </c>
      <c r="AR74" s="15">
        <v>4.0</v>
      </c>
      <c r="AS74" s="15">
        <v>3.0</v>
      </c>
      <c r="AT74" s="19">
        <f t="shared" si="6"/>
        <v>22</v>
      </c>
      <c r="AU74" s="15">
        <v>5.0</v>
      </c>
      <c r="AV74" s="15">
        <v>5.0</v>
      </c>
      <c r="AW74" s="15">
        <v>3.0</v>
      </c>
      <c r="AX74" s="15">
        <v>5.0</v>
      </c>
      <c r="AY74" s="15">
        <v>4.0</v>
      </c>
      <c r="AZ74" s="15">
        <v>3.0</v>
      </c>
      <c r="BA74" s="20">
        <f t="shared" si="7"/>
        <v>25</v>
      </c>
      <c r="BB74" s="15">
        <v>4.0</v>
      </c>
      <c r="BC74" s="15">
        <v>3.0</v>
      </c>
      <c r="BD74" s="15">
        <v>3.0</v>
      </c>
      <c r="BE74" s="15">
        <v>3.0</v>
      </c>
      <c r="BF74" s="15">
        <v>3.0</v>
      </c>
      <c r="BG74" s="15">
        <v>2.0</v>
      </c>
      <c r="BH74" s="21">
        <f t="shared" si="8"/>
        <v>18</v>
      </c>
      <c r="BI74" s="15">
        <v>1.0</v>
      </c>
      <c r="BJ74" s="15">
        <v>5.0</v>
      </c>
      <c r="BK74" s="15">
        <v>2.0</v>
      </c>
      <c r="BL74" s="15">
        <v>5.0</v>
      </c>
      <c r="BM74" s="15">
        <v>3.0</v>
      </c>
      <c r="BN74" s="15">
        <v>3.0</v>
      </c>
      <c r="BO74" s="21">
        <f t="shared" si="9"/>
        <v>19</v>
      </c>
      <c r="BP74" s="22">
        <v>3.0</v>
      </c>
      <c r="BQ74" s="15">
        <v>4.0</v>
      </c>
      <c r="BR74" s="15">
        <v>3.0</v>
      </c>
      <c r="BS74" s="15">
        <v>4.0</v>
      </c>
      <c r="BT74" s="15">
        <v>3.0</v>
      </c>
      <c r="BU74" s="15">
        <v>4.0</v>
      </c>
      <c r="BV74" s="15">
        <v>3.0</v>
      </c>
      <c r="BW74" s="15">
        <v>4.0</v>
      </c>
      <c r="BX74" s="15">
        <v>4.0</v>
      </c>
      <c r="BY74" s="15">
        <v>4.0</v>
      </c>
      <c r="BZ74" s="15">
        <v>4.0</v>
      </c>
      <c r="CA74" s="15">
        <v>4.0</v>
      </c>
      <c r="CB74" s="23">
        <f t="shared" si="10"/>
        <v>44</v>
      </c>
      <c r="CC74" s="24">
        <v>26.0</v>
      </c>
      <c r="CD74" s="18">
        <v>21.0</v>
      </c>
      <c r="CE74" s="18">
        <v>21.0</v>
      </c>
      <c r="CF74" s="19">
        <v>29.0</v>
      </c>
      <c r="CG74" s="19">
        <v>22.0</v>
      </c>
      <c r="CH74" s="20">
        <v>25.0</v>
      </c>
      <c r="CI74" s="25">
        <v>18.0</v>
      </c>
      <c r="CJ74" s="25">
        <v>19.0</v>
      </c>
      <c r="CK74" s="26" t="str">
        <f t="shared" si="11"/>
        <v>Bodily–Kinesthetic Intelligence</v>
      </c>
      <c r="CL74" s="26"/>
    </row>
    <row r="75" ht="22.5" customHeight="1">
      <c r="A75" s="14">
        <v>46035.63543900463</v>
      </c>
      <c r="B75" s="15" t="s">
        <v>89</v>
      </c>
      <c r="C75" s="15" t="s">
        <v>90</v>
      </c>
      <c r="D75" s="15" t="s">
        <v>111</v>
      </c>
      <c r="E75" s="15" t="s">
        <v>92</v>
      </c>
      <c r="F75" s="27"/>
      <c r="G75" s="15">
        <v>3.0</v>
      </c>
      <c r="H75" s="15">
        <v>3.0</v>
      </c>
      <c r="I75" s="15">
        <v>3.0</v>
      </c>
      <c r="J75" s="15">
        <v>3.0</v>
      </c>
      <c r="K75" s="17">
        <f t="shared" si="1"/>
        <v>12</v>
      </c>
      <c r="L75" s="15">
        <v>3.0</v>
      </c>
      <c r="M75" s="15">
        <v>3.0</v>
      </c>
      <c r="N75" s="15">
        <v>3.0</v>
      </c>
      <c r="O75" s="15">
        <v>3.0</v>
      </c>
      <c r="P75" s="15">
        <v>3.0</v>
      </c>
      <c r="Q75" s="15">
        <v>3.0</v>
      </c>
      <c r="R75" s="18">
        <f t="shared" si="2"/>
        <v>18</v>
      </c>
      <c r="S75" s="15">
        <v>3.0</v>
      </c>
      <c r="T75" s="15">
        <v>3.0</v>
      </c>
      <c r="U75" s="15">
        <v>3.0</v>
      </c>
      <c r="V75" s="15">
        <v>3.0</v>
      </c>
      <c r="W75" s="15">
        <v>3.0</v>
      </c>
      <c r="X75" s="15">
        <v>3.0</v>
      </c>
      <c r="Y75" s="18">
        <f t="shared" si="3"/>
        <v>18</v>
      </c>
      <c r="Z75" s="15">
        <v>3.0</v>
      </c>
      <c r="AA75" s="15">
        <v>3.0</v>
      </c>
      <c r="AB75" s="15">
        <v>3.0</v>
      </c>
      <c r="AC75" s="15">
        <v>3.0</v>
      </c>
      <c r="AD75" s="15">
        <v>3.0</v>
      </c>
      <c r="AE75" s="15">
        <v>3.0</v>
      </c>
      <c r="AF75" s="18">
        <f t="shared" si="4"/>
        <v>18</v>
      </c>
      <c r="AG75" s="15">
        <v>3.0</v>
      </c>
      <c r="AH75" s="15">
        <v>3.0</v>
      </c>
      <c r="AI75" s="15">
        <v>3.0</v>
      </c>
      <c r="AJ75" s="15">
        <v>3.0</v>
      </c>
      <c r="AK75" s="15">
        <v>3.0</v>
      </c>
      <c r="AL75" s="15">
        <v>3.0</v>
      </c>
      <c r="AM75" s="19">
        <f t="shared" si="5"/>
        <v>18</v>
      </c>
      <c r="AN75" s="15">
        <v>3.0</v>
      </c>
      <c r="AO75" s="15">
        <v>3.0</v>
      </c>
      <c r="AP75" s="15">
        <v>3.0</v>
      </c>
      <c r="AQ75" s="15">
        <v>3.0</v>
      </c>
      <c r="AR75" s="15">
        <v>3.0</v>
      </c>
      <c r="AS75" s="15">
        <v>3.0</v>
      </c>
      <c r="AT75" s="19">
        <f t="shared" si="6"/>
        <v>18</v>
      </c>
      <c r="AU75" s="15">
        <v>3.0</v>
      </c>
      <c r="AV75" s="15">
        <v>3.0</v>
      </c>
      <c r="AW75" s="15">
        <v>3.0</v>
      </c>
      <c r="AX75" s="15">
        <v>3.0</v>
      </c>
      <c r="AY75" s="15">
        <v>3.0</v>
      </c>
      <c r="AZ75" s="15">
        <v>3.0</v>
      </c>
      <c r="BA75" s="20">
        <f t="shared" si="7"/>
        <v>18</v>
      </c>
      <c r="BB75" s="15">
        <v>3.0</v>
      </c>
      <c r="BC75" s="15">
        <v>3.0</v>
      </c>
      <c r="BD75" s="15">
        <v>3.0</v>
      </c>
      <c r="BE75" s="15">
        <v>3.0</v>
      </c>
      <c r="BF75" s="15">
        <v>3.0</v>
      </c>
      <c r="BG75" s="15">
        <v>3.0</v>
      </c>
      <c r="BH75" s="21">
        <f t="shared" si="8"/>
        <v>18</v>
      </c>
      <c r="BI75" s="15">
        <v>3.0</v>
      </c>
      <c r="BJ75" s="15">
        <v>3.0</v>
      </c>
      <c r="BK75" s="15">
        <v>3.0</v>
      </c>
      <c r="BL75" s="15">
        <v>3.0</v>
      </c>
      <c r="BM75" s="15">
        <v>3.0</v>
      </c>
      <c r="BN75" s="15">
        <v>3.0</v>
      </c>
      <c r="BO75" s="21">
        <f t="shared" si="9"/>
        <v>18</v>
      </c>
      <c r="BP75" s="22">
        <v>3.0</v>
      </c>
      <c r="BQ75" s="15">
        <v>3.0</v>
      </c>
      <c r="BR75" s="15">
        <v>3.0</v>
      </c>
      <c r="BS75" s="15">
        <v>3.0</v>
      </c>
      <c r="BT75" s="15">
        <v>3.0</v>
      </c>
      <c r="BU75" s="15">
        <v>3.0</v>
      </c>
      <c r="BV75" s="15">
        <v>3.0</v>
      </c>
      <c r="BW75" s="15">
        <v>3.0</v>
      </c>
      <c r="BX75" s="15">
        <v>3.0</v>
      </c>
      <c r="BY75" s="15">
        <v>3.0</v>
      </c>
      <c r="BZ75" s="15">
        <v>3.0</v>
      </c>
      <c r="CA75" s="15">
        <v>3.0</v>
      </c>
      <c r="CB75" s="23">
        <f t="shared" si="10"/>
        <v>36</v>
      </c>
      <c r="CC75" s="24">
        <v>18.0</v>
      </c>
      <c r="CD75" s="18">
        <v>18.0</v>
      </c>
      <c r="CE75" s="18">
        <v>18.0</v>
      </c>
      <c r="CF75" s="19">
        <v>18.0</v>
      </c>
      <c r="CG75" s="19">
        <v>18.0</v>
      </c>
      <c r="CH75" s="20">
        <v>18.0</v>
      </c>
      <c r="CI75" s="25">
        <v>18.0</v>
      </c>
      <c r="CJ75" s="25">
        <v>18.0</v>
      </c>
      <c r="CK75" s="26" t="str">
        <f t="shared" si="11"/>
        <v>Intrapersonal Intelligence</v>
      </c>
      <c r="CL75" s="26"/>
    </row>
    <row r="76" ht="22.5" customHeight="1">
      <c r="A76" s="14">
        <v>46035.64985391204</v>
      </c>
      <c r="B76" s="15" t="s">
        <v>89</v>
      </c>
      <c r="C76" s="15" t="s">
        <v>90</v>
      </c>
      <c r="D76" s="15" t="s">
        <v>111</v>
      </c>
      <c r="E76" s="15" t="s">
        <v>97</v>
      </c>
      <c r="F76" s="16" t="s">
        <v>124</v>
      </c>
      <c r="G76" s="15">
        <v>4.0</v>
      </c>
      <c r="H76" s="15">
        <v>4.0</v>
      </c>
      <c r="I76" s="15">
        <v>2.0</v>
      </c>
      <c r="J76" s="15">
        <v>3.0</v>
      </c>
      <c r="K76" s="17">
        <f t="shared" si="1"/>
        <v>13</v>
      </c>
      <c r="L76" s="15">
        <v>3.0</v>
      </c>
      <c r="M76" s="15">
        <v>2.0</v>
      </c>
      <c r="N76" s="15">
        <v>4.0</v>
      </c>
      <c r="O76" s="15">
        <v>3.0</v>
      </c>
      <c r="P76" s="15">
        <v>3.0</v>
      </c>
      <c r="Q76" s="15">
        <v>4.0</v>
      </c>
      <c r="R76" s="18">
        <f t="shared" si="2"/>
        <v>19</v>
      </c>
      <c r="S76" s="15">
        <v>3.0</v>
      </c>
      <c r="T76" s="15">
        <v>3.0</v>
      </c>
      <c r="U76" s="15">
        <v>2.0</v>
      </c>
      <c r="V76" s="15">
        <v>2.0</v>
      </c>
      <c r="W76" s="15">
        <v>2.0</v>
      </c>
      <c r="X76" s="15">
        <v>4.0</v>
      </c>
      <c r="Y76" s="18">
        <f t="shared" si="3"/>
        <v>16</v>
      </c>
      <c r="Z76" s="15">
        <v>3.0</v>
      </c>
      <c r="AA76" s="15">
        <v>3.0</v>
      </c>
      <c r="AB76" s="15">
        <v>3.0</v>
      </c>
      <c r="AC76" s="15">
        <v>3.0</v>
      </c>
      <c r="AD76" s="15">
        <v>3.0</v>
      </c>
      <c r="AE76" s="15">
        <v>4.0</v>
      </c>
      <c r="AF76" s="18">
        <f t="shared" si="4"/>
        <v>19</v>
      </c>
      <c r="AG76" s="15">
        <v>3.0</v>
      </c>
      <c r="AH76" s="15">
        <v>2.0</v>
      </c>
      <c r="AI76" s="15">
        <v>3.0</v>
      </c>
      <c r="AJ76" s="15">
        <v>3.0</v>
      </c>
      <c r="AK76" s="15">
        <v>2.0</v>
      </c>
      <c r="AL76" s="15">
        <v>4.0</v>
      </c>
      <c r="AM76" s="19">
        <f t="shared" si="5"/>
        <v>17</v>
      </c>
      <c r="AN76" s="15">
        <v>3.0</v>
      </c>
      <c r="AO76" s="15">
        <v>3.0</v>
      </c>
      <c r="AP76" s="15">
        <v>3.0</v>
      </c>
      <c r="AQ76" s="15">
        <v>4.0</v>
      </c>
      <c r="AR76" s="15">
        <v>3.0</v>
      </c>
      <c r="AS76" s="15">
        <v>3.0</v>
      </c>
      <c r="AT76" s="19">
        <f t="shared" si="6"/>
        <v>19</v>
      </c>
      <c r="AU76" s="15">
        <v>3.0</v>
      </c>
      <c r="AV76" s="15">
        <v>2.0</v>
      </c>
      <c r="AW76" s="15">
        <v>3.0</v>
      </c>
      <c r="AX76" s="15">
        <v>3.0</v>
      </c>
      <c r="AY76" s="15">
        <v>4.0</v>
      </c>
      <c r="AZ76" s="15">
        <v>3.0</v>
      </c>
      <c r="BA76" s="20">
        <f t="shared" si="7"/>
        <v>18</v>
      </c>
      <c r="BB76" s="15">
        <v>3.0</v>
      </c>
      <c r="BC76" s="15">
        <v>3.0</v>
      </c>
      <c r="BD76" s="15">
        <v>3.0</v>
      </c>
      <c r="BE76" s="15">
        <v>4.0</v>
      </c>
      <c r="BF76" s="15">
        <v>3.0</v>
      </c>
      <c r="BG76" s="15">
        <v>3.0</v>
      </c>
      <c r="BH76" s="21">
        <f t="shared" si="8"/>
        <v>19</v>
      </c>
      <c r="BI76" s="15">
        <v>3.0</v>
      </c>
      <c r="BJ76" s="15">
        <v>4.0</v>
      </c>
      <c r="BK76" s="15">
        <v>4.0</v>
      </c>
      <c r="BL76" s="15">
        <v>4.0</v>
      </c>
      <c r="BM76" s="15">
        <v>4.0</v>
      </c>
      <c r="BN76" s="15">
        <v>4.0</v>
      </c>
      <c r="BO76" s="21">
        <f t="shared" si="9"/>
        <v>23</v>
      </c>
      <c r="BP76" s="22">
        <v>3.0</v>
      </c>
      <c r="BQ76" s="15">
        <v>4.0</v>
      </c>
      <c r="BR76" s="15">
        <v>4.0</v>
      </c>
      <c r="BS76" s="15">
        <v>4.0</v>
      </c>
      <c r="BT76" s="15">
        <v>3.0</v>
      </c>
      <c r="BU76" s="15">
        <v>3.0</v>
      </c>
      <c r="BV76" s="15">
        <v>4.0</v>
      </c>
      <c r="BW76" s="15">
        <v>4.0</v>
      </c>
      <c r="BX76" s="15">
        <v>4.0</v>
      </c>
      <c r="BY76" s="15">
        <v>3.0</v>
      </c>
      <c r="BZ76" s="15">
        <v>3.0</v>
      </c>
      <c r="CA76" s="15">
        <v>4.0</v>
      </c>
      <c r="CB76" s="23">
        <f t="shared" si="10"/>
        <v>43</v>
      </c>
      <c r="CC76" s="24">
        <v>19.0</v>
      </c>
      <c r="CD76" s="18">
        <v>16.0</v>
      </c>
      <c r="CE76" s="18">
        <v>19.0</v>
      </c>
      <c r="CF76" s="19">
        <v>17.0</v>
      </c>
      <c r="CG76" s="19">
        <v>19.0</v>
      </c>
      <c r="CH76" s="20">
        <v>18.0</v>
      </c>
      <c r="CI76" s="25">
        <v>19.0</v>
      </c>
      <c r="CJ76" s="25">
        <v>23.0</v>
      </c>
      <c r="CK76" s="26" t="str">
        <f t="shared" si="11"/>
        <v>Musical Intelligence</v>
      </c>
      <c r="CL76" s="26"/>
    </row>
    <row r="77" ht="22.5" customHeight="1">
      <c r="A77" s="14">
        <v>46035.66909081019</v>
      </c>
      <c r="B77" s="15" t="s">
        <v>89</v>
      </c>
      <c r="C77" s="15" t="s">
        <v>90</v>
      </c>
      <c r="D77" s="15" t="s">
        <v>111</v>
      </c>
      <c r="E77" s="15" t="s">
        <v>92</v>
      </c>
      <c r="F77" s="27"/>
      <c r="G77" s="15">
        <v>4.0</v>
      </c>
      <c r="H77" s="15">
        <v>4.0</v>
      </c>
      <c r="I77" s="15">
        <v>5.0</v>
      </c>
      <c r="J77" s="15">
        <v>4.0</v>
      </c>
      <c r="K77" s="17">
        <f t="shared" si="1"/>
        <v>17</v>
      </c>
      <c r="L77" s="15">
        <v>3.0</v>
      </c>
      <c r="M77" s="15">
        <v>3.0</v>
      </c>
      <c r="N77" s="15">
        <v>3.0</v>
      </c>
      <c r="O77" s="15">
        <v>3.0</v>
      </c>
      <c r="P77" s="15">
        <v>3.0</v>
      </c>
      <c r="Q77" s="15">
        <v>3.0</v>
      </c>
      <c r="R77" s="18">
        <f t="shared" si="2"/>
        <v>18</v>
      </c>
      <c r="S77" s="15">
        <v>3.0</v>
      </c>
      <c r="T77" s="15">
        <v>4.0</v>
      </c>
      <c r="U77" s="15">
        <v>3.0</v>
      </c>
      <c r="V77" s="15">
        <v>3.0</v>
      </c>
      <c r="W77" s="15">
        <v>3.0</v>
      </c>
      <c r="X77" s="15">
        <v>4.0</v>
      </c>
      <c r="Y77" s="18">
        <f t="shared" si="3"/>
        <v>20</v>
      </c>
      <c r="Z77" s="15">
        <v>4.0</v>
      </c>
      <c r="AA77" s="15">
        <v>4.0</v>
      </c>
      <c r="AB77" s="15">
        <v>4.0</v>
      </c>
      <c r="AC77" s="15">
        <v>4.0</v>
      </c>
      <c r="AD77" s="15">
        <v>4.0</v>
      </c>
      <c r="AE77" s="15">
        <v>4.0</v>
      </c>
      <c r="AF77" s="18">
        <f t="shared" si="4"/>
        <v>24</v>
      </c>
      <c r="AG77" s="15">
        <v>3.0</v>
      </c>
      <c r="AH77" s="15">
        <v>3.0</v>
      </c>
      <c r="AI77" s="15">
        <v>4.0</v>
      </c>
      <c r="AJ77" s="15">
        <v>4.0</v>
      </c>
      <c r="AK77" s="15">
        <v>3.0</v>
      </c>
      <c r="AL77" s="15">
        <v>4.0</v>
      </c>
      <c r="AM77" s="19">
        <f t="shared" si="5"/>
        <v>21</v>
      </c>
      <c r="AN77" s="15">
        <v>4.0</v>
      </c>
      <c r="AO77" s="15">
        <v>4.0</v>
      </c>
      <c r="AP77" s="15">
        <v>4.0</v>
      </c>
      <c r="AQ77" s="15">
        <v>4.0</v>
      </c>
      <c r="AR77" s="15">
        <v>5.0</v>
      </c>
      <c r="AS77" s="15">
        <v>4.0</v>
      </c>
      <c r="AT77" s="19">
        <f t="shared" si="6"/>
        <v>25</v>
      </c>
      <c r="AU77" s="15">
        <v>3.0</v>
      </c>
      <c r="AV77" s="15">
        <v>3.0</v>
      </c>
      <c r="AW77" s="15">
        <v>3.0</v>
      </c>
      <c r="AX77" s="15">
        <v>4.0</v>
      </c>
      <c r="AY77" s="15">
        <v>4.0</v>
      </c>
      <c r="AZ77" s="15">
        <v>4.0</v>
      </c>
      <c r="BA77" s="20">
        <f t="shared" si="7"/>
        <v>21</v>
      </c>
      <c r="BB77" s="15">
        <v>3.0</v>
      </c>
      <c r="BC77" s="15">
        <v>3.0</v>
      </c>
      <c r="BD77" s="15">
        <v>3.0</v>
      </c>
      <c r="BE77" s="15">
        <v>3.0</v>
      </c>
      <c r="BF77" s="15">
        <v>3.0</v>
      </c>
      <c r="BG77" s="15">
        <v>3.0</v>
      </c>
      <c r="BH77" s="21">
        <f t="shared" si="8"/>
        <v>18</v>
      </c>
      <c r="BI77" s="15">
        <v>3.0</v>
      </c>
      <c r="BJ77" s="15">
        <v>4.0</v>
      </c>
      <c r="BK77" s="15">
        <v>4.0</v>
      </c>
      <c r="BL77" s="15">
        <v>4.0</v>
      </c>
      <c r="BM77" s="15">
        <v>4.0</v>
      </c>
      <c r="BN77" s="15">
        <v>4.0</v>
      </c>
      <c r="BO77" s="21">
        <f t="shared" si="9"/>
        <v>23</v>
      </c>
      <c r="BP77" s="22">
        <v>4.0</v>
      </c>
      <c r="BQ77" s="15">
        <v>4.0</v>
      </c>
      <c r="BR77" s="15">
        <v>4.0</v>
      </c>
      <c r="BS77" s="15">
        <v>4.0</v>
      </c>
      <c r="BT77" s="15">
        <v>4.0</v>
      </c>
      <c r="BU77" s="15">
        <v>4.0</v>
      </c>
      <c r="BV77" s="15">
        <v>4.0</v>
      </c>
      <c r="BW77" s="15">
        <v>4.0</v>
      </c>
      <c r="BX77" s="15">
        <v>4.0</v>
      </c>
      <c r="BY77" s="15">
        <v>4.0</v>
      </c>
      <c r="BZ77" s="15">
        <v>4.0</v>
      </c>
      <c r="CA77" s="15">
        <v>4.0</v>
      </c>
      <c r="CB77" s="23">
        <f t="shared" si="10"/>
        <v>48</v>
      </c>
      <c r="CC77" s="24">
        <v>18.0</v>
      </c>
      <c r="CD77" s="18">
        <v>20.0</v>
      </c>
      <c r="CE77" s="18">
        <v>24.0</v>
      </c>
      <c r="CF77" s="19">
        <v>21.0</v>
      </c>
      <c r="CG77" s="19">
        <v>25.0</v>
      </c>
      <c r="CH77" s="20">
        <v>21.0</v>
      </c>
      <c r="CI77" s="25">
        <v>18.0</v>
      </c>
      <c r="CJ77" s="25">
        <v>23.0</v>
      </c>
      <c r="CK77" s="26" t="str">
        <f t="shared" si="11"/>
        <v>Linguistic Intelligence</v>
      </c>
      <c r="CL77" s="26"/>
    </row>
    <row r="78" ht="22.5" customHeight="1">
      <c r="A78" s="14">
        <v>46035.80183403935</v>
      </c>
      <c r="B78" s="15" t="s">
        <v>89</v>
      </c>
      <c r="C78" s="15" t="s">
        <v>90</v>
      </c>
      <c r="D78" s="15" t="s">
        <v>111</v>
      </c>
      <c r="E78" s="15" t="s">
        <v>97</v>
      </c>
      <c r="F78" s="16" t="s">
        <v>125</v>
      </c>
      <c r="G78" s="15">
        <v>5.0</v>
      </c>
      <c r="H78" s="15">
        <v>5.0</v>
      </c>
      <c r="I78" s="15">
        <v>3.0</v>
      </c>
      <c r="J78" s="15">
        <v>3.0</v>
      </c>
      <c r="K78" s="17">
        <f t="shared" si="1"/>
        <v>16</v>
      </c>
      <c r="L78" s="15">
        <v>5.0</v>
      </c>
      <c r="M78" s="15">
        <v>4.0</v>
      </c>
      <c r="N78" s="15">
        <v>5.0</v>
      </c>
      <c r="O78" s="15">
        <v>5.0</v>
      </c>
      <c r="P78" s="15">
        <v>3.0</v>
      </c>
      <c r="Q78" s="15">
        <v>5.0</v>
      </c>
      <c r="R78" s="18">
        <f t="shared" si="2"/>
        <v>27</v>
      </c>
      <c r="S78" s="15">
        <v>4.0</v>
      </c>
      <c r="T78" s="15">
        <v>3.0</v>
      </c>
      <c r="U78" s="15">
        <v>3.0</v>
      </c>
      <c r="V78" s="15">
        <v>3.0</v>
      </c>
      <c r="W78" s="15">
        <v>4.0</v>
      </c>
      <c r="X78" s="15">
        <v>5.0</v>
      </c>
      <c r="Y78" s="18">
        <f t="shared" si="3"/>
        <v>22</v>
      </c>
      <c r="Z78" s="15">
        <v>2.0</v>
      </c>
      <c r="AA78" s="15">
        <v>2.0</v>
      </c>
      <c r="AB78" s="15">
        <v>5.0</v>
      </c>
      <c r="AC78" s="15">
        <v>5.0</v>
      </c>
      <c r="AD78" s="15">
        <v>4.0</v>
      </c>
      <c r="AE78" s="15">
        <v>5.0</v>
      </c>
      <c r="AF78" s="18">
        <f t="shared" si="4"/>
        <v>23</v>
      </c>
      <c r="AG78" s="15">
        <v>1.0</v>
      </c>
      <c r="AH78" s="15">
        <v>1.0</v>
      </c>
      <c r="AI78" s="15">
        <v>1.0</v>
      </c>
      <c r="AJ78" s="15">
        <v>1.0</v>
      </c>
      <c r="AK78" s="15">
        <v>4.0</v>
      </c>
      <c r="AL78" s="15">
        <v>4.0</v>
      </c>
      <c r="AM78" s="19">
        <f t="shared" si="5"/>
        <v>12</v>
      </c>
      <c r="AN78" s="15">
        <v>5.0</v>
      </c>
      <c r="AO78" s="15">
        <v>5.0</v>
      </c>
      <c r="AP78" s="15">
        <v>5.0</v>
      </c>
      <c r="AQ78" s="15">
        <v>5.0</v>
      </c>
      <c r="AR78" s="15">
        <v>5.0</v>
      </c>
      <c r="AS78" s="15">
        <v>5.0</v>
      </c>
      <c r="AT78" s="19">
        <f t="shared" si="6"/>
        <v>30</v>
      </c>
      <c r="AU78" s="15">
        <v>4.0</v>
      </c>
      <c r="AV78" s="15">
        <v>5.0</v>
      </c>
      <c r="AW78" s="15">
        <v>2.0</v>
      </c>
      <c r="AX78" s="15">
        <v>2.0</v>
      </c>
      <c r="AY78" s="15">
        <v>4.0</v>
      </c>
      <c r="AZ78" s="15">
        <v>3.0</v>
      </c>
      <c r="BA78" s="20">
        <f t="shared" si="7"/>
        <v>20</v>
      </c>
      <c r="BB78" s="15">
        <v>4.0</v>
      </c>
      <c r="BC78" s="15">
        <v>3.0</v>
      </c>
      <c r="BD78" s="15">
        <v>3.0</v>
      </c>
      <c r="BE78" s="15">
        <v>5.0</v>
      </c>
      <c r="BF78" s="15">
        <v>5.0</v>
      </c>
      <c r="BG78" s="15">
        <v>3.0</v>
      </c>
      <c r="BH78" s="21">
        <f t="shared" si="8"/>
        <v>23</v>
      </c>
      <c r="BI78" s="15">
        <v>5.0</v>
      </c>
      <c r="BJ78" s="15">
        <v>5.0</v>
      </c>
      <c r="BK78" s="15">
        <v>5.0</v>
      </c>
      <c r="BL78" s="15">
        <v>5.0</v>
      </c>
      <c r="BM78" s="15">
        <v>5.0</v>
      </c>
      <c r="BN78" s="15">
        <v>3.0</v>
      </c>
      <c r="BO78" s="21">
        <f t="shared" si="9"/>
        <v>28</v>
      </c>
      <c r="BP78" s="22">
        <v>4.0</v>
      </c>
      <c r="BQ78" s="15">
        <v>5.0</v>
      </c>
      <c r="BR78" s="15">
        <v>5.0</v>
      </c>
      <c r="BS78" s="15">
        <v>1.0</v>
      </c>
      <c r="BT78" s="15">
        <v>3.0</v>
      </c>
      <c r="BU78" s="15">
        <v>5.0</v>
      </c>
      <c r="BV78" s="15">
        <v>3.0</v>
      </c>
      <c r="BW78" s="15">
        <v>3.0</v>
      </c>
      <c r="BX78" s="15">
        <v>5.0</v>
      </c>
      <c r="BY78" s="15">
        <v>3.0</v>
      </c>
      <c r="BZ78" s="15">
        <v>3.0</v>
      </c>
      <c r="CA78" s="15">
        <v>5.0</v>
      </c>
      <c r="CB78" s="23">
        <f t="shared" si="10"/>
        <v>45</v>
      </c>
      <c r="CC78" s="24">
        <v>27.0</v>
      </c>
      <c r="CD78" s="18">
        <v>22.0</v>
      </c>
      <c r="CE78" s="18">
        <v>23.0</v>
      </c>
      <c r="CF78" s="19">
        <v>12.0</v>
      </c>
      <c r="CG78" s="19">
        <v>30.0</v>
      </c>
      <c r="CH78" s="20">
        <v>20.0</v>
      </c>
      <c r="CI78" s="25">
        <v>23.0</v>
      </c>
      <c r="CJ78" s="25">
        <v>28.0</v>
      </c>
      <c r="CK78" s="26" t="str">
        <f t="shared" si="11"/>
        <v>Linguistic Intelligence</v>
      </c>
      <c r="CL78" s="26"/>
    </row>
    <row r="79" ht="22.5" customHeight="1">
      <c r="A79" s="14">
        <v>46035.89031224537</v>
      </c>
      <c r="B79" s="15" t="s">
        <v>96</v>
      </c>
      <c r="C79" s="15" t="s">
        <v>90</v>
      </c>
      <c r="D79" s="15" t="s">
        <v>111</v>
      </c>
      <c r="E79" s="15" t="s">
        <v>92</v>
      </c>
      <c r="F79" s="27"/>
      <c r="G79" s="15">
        <v>4.0</v>
      </c>
      <c r="H79" s="15">
        <v>4.0</v>
      </c>
      <c r="I79" s="15">
        <v>3.0</v>
      </c>
      <c r="J79" s="15">
        <v>2.0</v>
      </c>
      <c r="K79" s="17">
        <f t="shared" si="1"/>
        <v>13</v>
      </c>
      <c r="L79" s="15">
        <v>4.0</v>
      </c>
      <c r="M79" s="15">
        <v>3.0</v>
      </c>
      <c r="N79" s="15">
        <v>5.0</v>
      </c>
      <c r="O79" s="15">
        <v>4.0</v>
      </c>
      <c r="P79" s="15">
        <v>3.0</v>
      </c>
      <c r="Q79" s="15">
        <v>3.0</v>
      </c>
      <c r="R79" s="18">
        <f t="shared" si="2"/>
        <v>22</v>
      </c>
      <c r="S79" s="15">
        <v>3.0</v>
      </c>
      <c r="T79" s="15">
        <v>4.0</v>
      </c>
      <c r="U79" s="15">
        <v>3.0</v>
      </c>
      <c r="V79" s="15">
        <v>3.0</v>
      </c>
      <c r="W79" s="15">
        <v>3.0</v>
      </c>
      <c r="X79" s="15">
        <v>3.0</v>
      </c>
      <c r="Y79" s="18">
        <f t="shared" si="3"/>
        <v>19</v>
      </c>
      <c r="Z79" s="15">
        <v>3.0</v>
      </c>
      <c r="AA79" s="15">
        <v>3.0</v>
      </c>
      <c r="AB79" s="15">
        <v>3.0</v>
      </c>
      <c r="AC79" s="15">
        <v>3.0</v>
      </c>
      <c r="AD79" s="15">
        <v>3.0</v>
      </c>
      <c r="AE79" s="15">
        <v>2.0</v>
      </c>
      <c r="AF79" s="18">
        <f t="shared" si="4"/>
        <v>17</v>
      </c>
      <c r="AG79" s="15">
        <v>4.0</v>
      </c>
      <c r="AH79" s="15">
        <v>3.0</v>
      </c>
      <c r="AI79" s="15">
        <v>3.0</v>
      </c>
      <c r="AJ79" s="15">
        <v>4.0</v>
      </c>
      <c r="AK79" s="15">
        <v>4.0</v>
      </c>
      <c r="AL79" s="15">
        <v>3.0</v>
      </c>
      <c r="AM79" s="19">
        <f t="shared" si="5"/>
        <v>21</v>
      </c>
      <c r="AN79" s="15">
        <v>3.0</v>
      </c>
      <c r="AO79" s="15">
        <v>2.0</v>
      </c>
      <c r="AP79" s="15">
        <v>3.0</v>
      </c>
      <c r="AQ79" s="15">
        <v>2.0</v>
      </c>
      <c r="AR79" s="15">
        <v>3.0</v>
      </c>
      <c r="AS79" s="15">
        <v>2.0</v>
      </c>
      <c r="AT79" s="19">
        <f t="shared" si="6"/>
        <v>15</v>
      </c>
      <c r="AU79" s="15">
        <v>5.0</v>
      </c>
      <c r="AV79" s="15">
        <v>5.0</v>
      </c>
      <c r="AW79" s="15">
        <v>5.0</v>
      </c>
      <c r="AX79" s="15">
        <v>4.0</v>
      </c>
      <c r="AY79" s="15">
        <v>5.0</v>
      </c>
      <c r="AZ79" s="15">
        <v>4.0</v>
      </c>
      <c r="BA79" s="20">
        <f t="shared" si="7"/>
        <v>28</v>
      </c>
      <c r="BB79" s="15">
        <v>3.0</v>
      </c>
      <c r="BC79" s="15">
        <v>3.0</v>
      </c>
      <c r="BD79" s="15">
        <v>2.0</v>
      </c>
      <c r="BE79" s="15">
        <v>2.0</v>
      </c>
      <c r="BF79" s="15">
        <v>2.0</v>
      </c>
      <c r="BG79" s="15">
        <v>2.0</v>
      </c>
      <c r="BH79" s="21">
        <f t="shared" si="8"/>
        <v>14</v>
      </c>
      <c r="BI79" s="15">
        <v>5.0</v>
      </c>
      <c r="BJ79" s="15">
        <v>5.0</v>
      </c>
      <c r="BK79" s="15">
        <v>5.0</v>
      </c>
      <c r="BL79" s="15">
        <v>5.0</v>
      </c>
      <c r="BM79" s="15">
        <v>5.0</v>
      </c>
      <c r="BN79" s="15">
        <v>5.0</v>
      </c>
      <c r="BO79" s="21">
        <f t="shared" si="9"/>
        <v>30</v>
      </c>
      <c r="BP79" s="22">
        <v>4.0</v>
      </c>
      <c r="BQ79" s="15">
        <v>4.0</v>
      </c>
      <c r="BR79" s="15">
        <v>4.0</v>
      </c>
      <c r="BS79" s="15">
        <v>4.0</v>
      </c>
      <c r="BT79" s="15">
        <v>4.0</v>
      </c>
      <c r="BU79" s="15">
        <v>4.0</v>
      </c>
      <c r="BV79" s="15">
        <v>4.0</v>
      </c>
      <c r="BW79" s="15">
        <v>4.0</v>
      </c>
      <c r="BX79" s="15">
        <v>4.0</v>
      </c>
      <c r="BY79" s="15">
        <v>4.0</v>
      </c>
      <c r="BZ79" s="15">
        <v>4.0</v>
      </c>
      <c r="CA79" s="15">
        <v>3.0</v>
      </c>
      <c r="CB79" s="23">
        <f t="shared" si="10"/>
        <v>47</v>
      </c>
      <c r="CC79" s="24">
        <v>22.0</v>
      </c>
      <c r="CD79" s="18">
        <v>19.0</v>
      </c>
      <c r="CE79" s="18">
        <v>17.0</v>
      </c>
      <c r="CF79" s="19">
        <v>21.0</v>
      </c>
      <c r="CG79" s="19">
        <v>15.0</v>
      </c>
      <c r="CH79" s="20">
        <v>28.0</v>
      </c>
      <c r="CI79" s="25">
        <v>14.0</v>
      </c>
      <c r="CJ79" s="25">
        <v>30.0</v>
      </c>
      <c r="CK79" s="26" t="str">
        <f t="shared" si="11"/>
        <v>Musical Intelligence</v>
      </c>
      <c r="CL79" s="26"/>
    </row>
    <row r="80" ht="22.5" customHeight="1">
      <c r="A80" s="14">
        <v>46036.30863694444</v>
      </c>
      <c r="B80" s="15" t="s">
        <v>89</v>
      </c>
      <c r="C80" s="15" t="s">
        <v>90</v>
      </c>
      <c r="D80" s="15" t="s">
        <v>111</v>
      </c>
      <c r="E80" s="15" t="s">
        <v>92</v>
      </c>
      <c r="F80" s="16" t="s">
        <v>126</v>
      </c>
      <c r="G80" s="15">
        <v>3.0</v>
      </c>
      <c r="H80" s="15">
        <v>4.0</v>
      </c>
      <c r="I80" s="15">
        <v>3.0</v>
      </c>
      <c r="J80" s="15">
        <v>3.0</v>
      </c>
      <c r="K80" s="17">
        <f t="shared" si="1"/>
        <v>13</v>
      </c>
      <c r="L80" s="15">
        <v>5.0</v>
      </c>
      <c r="M80" s="15">
        <v>3.0</v>
      </c>
      <c r="N80" s="15">
        <v>4.0</v>
      </c>
      <c r="O80" s="15">
        <v>3.0</v>
      </c>
      <c r="P80" s="15">
        <v>2.0</v>
      </c>
      <c r="Q80" s="15">
        <v>2.0</v>
      </c>
      <c r="R80" s="18">
        <f t="shared" si="2"/>
        <v>19</v>
      </c>
      <c r="S80" s="15">
        <v>5.0</v>
      </c>
      <c r="T80" s="15">
        <v>5.0</v>
      </c>
      <c r="U80" s="15">
        <v>3.0</v>
      </c>
      <c r="V80" s="15">
        <v>2.0</v>
      </c>
      <c r="W80" s="15">
        <v>4.0</v>
      </c>
      <c r="X80" s="15">
        <v>5.0</v>
      </c>
      <c r="Y80" s="18">
        <f t="shared" si="3"/>
        <v>24</v>
      </c>
      <c r="Z80" s="15">
        <v>2.0</v>
      </c>
      <c r="AA80" s="15">
        <v>2.0</v>
      </c>
      <c r="AB80" s="15">
        <v>2.0</v>
      </c>
      <c r="AC80" s="15">
        <v>2.0</v>
      </c>
      <c r="AD80" s="15">
        <v>4.0</v>
      </c>
      <c r="AE80" s="15">
        <v>2.0</v>
      </c>
      <c r="AF80" s="18">
        <f t="shared" si="4"/>
        <v>14</v>
      </c>
      <c r="AG80" s="15">
        <v>4.0</v>
      </c>
      <c r="AH80" s="15">
        <v>3.0</v>
      </c>
      <c r="AI80" s="15">
        <v>3.0</v>
      </c>
      <c r="AJ80" s="15">
        <v>2.0</v>
      </c>
      <c r="AK80" s="15">
        <v>4.0</v>
      </c>
      <c r="AL80" s="15">
        <v>4.0</v>
      </c>
      <c r="AM80" s="19">
        <f t="shared" si="5"/>
        <v>20</v>
      </c>
      <c r="AN80" s="15">
        <v>5.0</v>
      </c>
      <c r="AO80" s="15">
        <v>5.0</v>
      </c>
      <c r="AP80" s="15">
        <v>4.0</v>
      </c>
      <c r="AQ80" s="15">
        <v>5.0</v>
      </c>
      <c r="AR80" s="15">
        <v>4.0</v>
      </c>
      <c r="AS80" s="15">
        <v>5.0</v>
      </c>
      <c r="AT80" s="19">
        <f t="shared" si="6"/>
        <v>28</v>
      </c>
      <c r="AU80" s="15">
        <v>5.0</v>
      </c>
      <c r="AV80" s="15">
        <v>4.0</v>
      </c>
      <c r="AW80" s="15">
        <v>5.0</v>
      </c>
      <c r="AX80" s="15">
        <v>4.0</v>
      </c>
      <c r="AY80" s="15">
        <v>4.0</v>
      </c>
      <c r="AZ80" s="15">
        <v>5.0</v>
      </c>
      <c r="BA80" s="20">
        <f t="shared" si="7"/>
        <v>27</v>
      </c>
      <c r="BB80" s="15">
        <v>4.0</v>
      </c>
      <c r="BC80" s="15">
        <v>5.0</v>
      </c>
      <c r="BD80" s="15">
        <v>4.0</v>
      </c>
      <c r="BE80" s="15">
        <v>4.0</v>
      </c>
      <c r="BF80" s="15">
        <v>4.0</v>
      </c>
      <c r="BG80" s="15">
        <v>5.0</v>
      </c>
      <c r="BH80" s="21">
        <f t="shared" si="8"/>
        <v>26</v>
      </c>
      <c r="BI80" s="15">
        <v>5.0</v>
      </c>
      <c r="BJ80" s="15">
        <v>4.0</v>
      </c>
      <c r="BK80" s="15">
        <v>4.0</v>
      </c>
      <c r="BL80" s="15">
        <v>3.0</v>
      </c>
      <c r="BM80" s="15">
        <v>5.0</v>
      </c>
      <c r="BN80" s="15">
        <v>3.0</v>
      </c>
      <c r="BO80" s="21">
        <f t="shared" si="9"/>
        <v>24</v>
      </c>
      <c r="BP80" s="22">
        <v>3.0</v>
      </c>
      <c r="BQ80" s="15">
        <v>4.0</v>
      </c>
      <c r="BR80" s="15">
        <v>3.0</v>
      </c>
      <c r="BS80" s="15">
        <v>3.0</v>
      </c>
      <c r="BT80" s="15">
        <v>3.0</v>
      </c>
      <c r="BU80" s="15">
        <v>3.0</v>
      </c>
      <c r="BV80" s="15">
        <v>3.0</v>
      </c>
      <c r="BW80" s="15">
        <v>3.0</v>
      </c>
      <c r="BX80" s="15">
        <v>4.0</v>
      </c>
      <c r="BY80" s="15">
        <v>4.0</v>
      </c>
      <c r="BZ80" s="15">
        <v>3.0</v>
      </c>
      <c r="CA80" s="15">
        <v>4.0</v>
      </c>
      <c r="CB80" s="23">
        <f t="shared" si="10"/>
        <v>40</v>
      </c>
      <c r="CC80" s="24">
        <v>19.0</v>
      </c>
      <c r="CD80" s="18">
        <v>24.0</v>
      </c>
      <c r="CE80" s="18">
        <v>14.0</v>
      </c>
      <c r="CF80" s="19">
        <v>20.0</v>
      </c>
      <c r="CG80" s="19">
        <v>28.0</v>
      </c>
      <c r="CH80" s="20">
        <v>27.0</v>
      </c>
      <c r="CI80" s="25">
        <v>26.0</v>
      </c>
      <c r="CJ80" s="25">
        <v>24.0</v>
      </c>
      <c r="CK80" s="26" t="str">
        <f t="shared" si="11"/>
        <v>Linguistic Intelligence</v>
      </c>
      <c r="CL80" s="26"/>
    </row>
    <row r="81" ht="22.5" customHeight="1">
      <c r="A81" s="14">
        <v>46036.60684636574</v>
      </c>
      <c r="B81" s="15" t="s">
        <v>127</v>
      </c>
      <c r="C81" s="15" t="s">
        <v>90</v>
      </c>
      <c r="D81" s="15" t="s">
        <v>111</v>
      </c>
      <c r="E81" s="15" t="s">
        <v>108</v>
      </c>
      <c r="F81" s="27"/>
      <c r="G81" s="15">
        <v>3.0</v>
      </c>
      <c r="H81" s="15">
        <v>5.0</v>
      </c>
      <c r="I81" s="15">
        <v>2.0</v>
      </c>
      <c r="J81" s="15">
        <v>2.0</v>
      </c>
      <c r="K81" s="17">
        <f t="shared" si="1"/>
        <v>12</v>
      </c>
      <c r="L81" s="15">
        <v>5.0</v>
      </c>
      <c r="M81" s="15">
        <v>3.0</v>
      </c>
      <c r="N81" s="15">
        <v>3.0</v>
      </c>
      <c r="O81" s="15">
        <v>3.0</v>
      </c>
      <c r="P81" s="15">
        <v>1.0</v>
      </c>
      <c r="Q81" s="15">
        <v>5.0</v>
      </c>
      <c r="R81" s="18">
        <f t="shared" si="2"/>
        <v>20</v>
      </c>
      <c r="S81" s="15">
        <v>3.0</v>
      </c>
      <c r="T81" s="15">
        <v>3.0</v>
      </c>
      <c r="U81" s="15">
        <v>3.0</v>
      </c>
      <c r="V81" s="15">
        <v>4.0</v>
      </c>
      <c r="W81" s="15">
        <v>5.0</v>
      </c>
      <c r="X81" s="15">
        <v>5.0</v>
      </c>
      <c r="Y81" s="18">
        <f t="shared" si="3"/>
        <v>23</v>
      </c>
      <c r="Z81" s="15">
        <v>2.0</v>
      </c>
      <c r="AA81" s="15">
        <v>1.0</v>
      </c>
      <c r="AB81" s="15">
        <v>1.0</v>
      </c>
      <c r="AC81" s="15">
        <v>5.0</v>
      </c>
      <c r="AD81" s="15">
        <v>1.0</v>
      </c>
      <c r="AE81" s="15">
        <v>4.0</v>
      </c>
      <c r="AF81" s="18">
        <f t="shared" si="4"/>
        <v>14</v>
      </c>
      <c r="AG81" s="15">
        <v>1.0</v>
      </c>
      <c r="AH81" s="15">
        <v>3.0</v>
      </c>
      <c r="AI81" s="15">
        <v>2.0</v>
      </c>
      <c r="AJ81" s="15">
        <v>4.0</v>
      </c>
      <c r="AK81" s="15">
        <v>1.0</v>
      </c>
      <c r="AL81" s="15">
        <v>1.0</v>
      </c>
      <c r="AM81" s="19">
        <f t="shared" si="5"/>
        <v>12</v>
      </c>
      <c r="AN81" s="15">
        <v>2.0</v>
      </c>
      <c r="AO81" s="15">
        <v>5.0</v>
      </c>
      <c r="AP81" s="15">
        <v>3.0</v>
      </c>
      <c r="AQ81" s="15">
        <v>1.0</v>
      </c>
      <c r="AR81" s="15">
        <v>3.0</v>
      </c>
      <c r="AS81" s="15">
        <v>3.0</v>
      </c>
      <c r="AT81" s="19">
        <f t="shared" si="6"/>
        <v>17</v>
      </c>
      <c r="AU81" s="15">
        <v>1.0</v>
      </c>
      <c r="AV81" s="15">
        <v>1.0</v>
      </c>
      <c r="AW81" s="15">
        <v>1.0</v>
      </c>
      <c r="AX81" s="15">
        <v>2.0</v>
      </c>
      <c r="AY81" s="15">
        <v>2.0</v>
      </c>
      <c r="AZ81" s="15">
        <v>1.0</v>
      </c>
      <c r="BA81" s="20">
        <f t="shared" si="7"/>
        <v>8</v>
      </c>
      <c r="BB81" s="15">
        <v>5.0</v>
      </c>
      <c r="BC81" s="15">
        <v>5.0</v>
      </c>
      <c r="BD81" s="15">
        <v>5.0</v>
      </c>
      <c r="BE81" s="15">
        <v>5.0</v>
      </c>
      <c r="BF81" s="15">
        <v>3.0</v>
      </c>
      <c r="BG81" s="15">
        <v>5.0</v>
      </c>
      <c r="BH81" s="21">
        <f t="shared" si="8"/>
        <v>28</v>
      </c>
      <c r="BI81" s="15">
        <v>3.0</v>
      </c>
      <c r="BJ81" s="15">
        <v>3.0</v>
      </c>
      <c r="BK81" s="15">
        <v>2.0</v>
      </c>
      <c r="BL81" s="15">
        <v>4.0</v>
      </c>
      <c r="BM81" s="15">
        <v>3.0</v>
      </c>
      <c r="BN81" s="15">
        <v>4.0</v>
      </c>
      <c r="BO81" s="21">
        <f t="shared" si="9"/>
        <v>19</v>
      </c>
      <c r="BP81" s="22">
        <v>4.0</v>
      </c>
      <c r="BQ81" s="15">
        <v>5.0</v>
      </c>
      <c r="BR81" s="15">
        <v>2.0</v>
      </c>
      <c r="BS81" s="15">
        <v>3.0</v>
      </c>
      <c r="BT81" s="15">
        <v>4.0</v>
      </c>
      <c r="BU81" s="15">
        <v>5.0</v>
      </c>
      <c r="BV81" s="15">
        <v>2.0</v>
      </c>
      <c r="BW81" s="15">
        <v>3.0</v>
      </c>
      <c r="BX81" s="15">
        <v>4.0</v>
      </c>
      <c r="BY81" s="15">
        <v>4.0</v>
      </c>
      <c r="BZ81" s="15">
        <v>2.0</v>
      </c>
      <c r="CA81" s="15">
        <v>4.0</v>
      </c>
      <c r="CB81" s="23">
        <f t="shared" si="10"/>
        <v>42</v>
      </c>
      <c r="CC81" s="24">
        <v>20.0</v>
      </c>
      <c r="CD81" s="18">
        <v>23.0</v>
      </c>
      <c r="CE81" s="18">
        <v>14.0</v>
      </c>
      <c r="CF81" s="19">
        <v>12.0</v>
      </c>
      <c r="CG81" s="19">
        <v>17.0</v>
      </c>
      <c r="CH81" s="20">
        <v>8.0</v>
      </c>
      <c r="CI81" s="25">
        <v>28.0</v>
      </c>
      <c r="CJ81" s="25">
        <v>19.0</v>
      </c>
      <c r="CK81" s="26" t="str">
        <f t="shared" si="11"/>
        <v>Visual–Spatial Intelligence
</v>
      </c>
      <c r="CL81" s="26"/>
    </row>
    <row r="82" ht="22.5" customHeight="1">
      <c r="A82" s="14">
        <v>46036.61985429398</v>
      </c>
      <c r="B82" s="15" t="s">
        <v>89</v>
      </c>
      <c r="C82" s="15" t="s">
        <v>90</v>
      </c>
      <c r="D82" s="15" t="s">
        <v>111</v>
      </c>
      <c r="E82" s="15" t="s">
        <v>108</v>
      </c>
      <c r="F82" s="27"/>
      <c r="G82" s="15">
        <v>4.0</v>
      </c>
      <c r="H82" s="15">
        <v>5.0</v>
      </c>
      <c r="I82" s="15">
        <v>3.0</v>
      </c>
      <c r="J82" s="15">
        <v>3.0</v>
      </c>
      <c r="K82" s="17">
        <f t="shared" si="1"/>
        <v>15</v>
      </c>
      <c r="L82" s="15">
        <v>4.0</v>
      </c>
      <c r="M82" s="15">
        <v>3.0</v>
      </c>
      <c r="N82" s="15">
        <v>2.0</v>
      </c>
      <c r="O82" s="15">
        <v>5.0</v>
      </c>
      <c r="P82" s="15">
        <v>1.0</v>
      </c>
      <c r="Q82" s="15">
        <v>4.0</v>
      </c>
      <c r="R82" s="18">
        <f t="shared" si="2"/>
        <v>19</v>
      </c>
      <c r="S82" s="15">
        <v>4.0</v>
      </c>
      <c r="T82" s="15">
        <v>4.0</v>
      </c>
      <c r="U82" s="15">
        <v>5.0</v>
      </c>
      <c r="V82" s="15">
        <v>3.0</v>
      </c>
      <c r="W82" s="15">
        <v>5.0</v>
      </c>
      <c r="X82" s="15">
        <v>5.0</v>
      </c>
      <c r="Y82" s="18">
        <f t="shared" si="3"/>
        <v>26</v>
      </c>
      <c r="Z82" s="15">
        <v>1.0</v>
      </c>
      <c r="AA82" s="15">
        <v>1.0</v>
      </c>
      <c r="AB82" s="15">
        <v>3.0</v>
      </c>
      <c r="AC82" s="15">
        <v>5.0</v>
      </c>
      <c r="AD82" s="15">
        <v>5.0</v>
      </c>
      <c r="AE82" s="15">
        <v>5.0</v>
      </c>
      <c r="AF82" s="18">
        <f t="shared" si="4"/>
        <v>20</v>
      </c>
      <c r="AG82" s="15">
        <v>4.0</v>
      </c>
      <c r="AH82" s="15">
        <v>3.0</v>
      </c>
      <c r="AI82" s="15">
        <v>1.0</v>
      </c>
      <c r="AJ82" s="15">
        <v>2.0</v>
      </c>
      <c r="AK82" s="15">
        <v>2.0</v>
      </c>
      <c r="AL82" s="15">
        <v>1.0</v>
      </c>
      <c r="AM82" s="19">
        <f t="shared" si="5"/>
        <v>13</v>
      </c>
      <c r="AN82" s="15">
        <v>5.0</v>
      </c>
      <c r="AO82" s="15">
        <v>5.0</v>
      </c>
      <c r="AP82" s="15">
        <v>5.0</v>
      </c>
      <c r="AQ82" s="15">
        <v>4.0</v>
      </c>
      <c r="AR82" s="15">
        <v>5.0</v>
      </c>
      <c r="AS82" s="15">
        <v>5.0</v>
      </c>
      <c r="AT82" s="19">
        <f t="shared" si="6"/>
        <v>29</v>
      </c>
      <c r="AU82" s="15">
        <v>5.0</v>
      </c>
      <c r="AV82" s="15">
        <v>5.0</v>
      </c>
      <c r="AW82" s="15">
        <v>4.0</v>
      </c>
      <c r="AX82" s="15">
        <v>5.0</v>
      </c>
      <c r="AY82" s="15">
        <v>4.0</v>
      </c>
      <c r="AZ82" s="15">
        <v>4.0</v>
      </c>
      <c r="BA82" s="20">
        <f t="shared" si="7"/>
        <v>27</v>
      </c>
      <c r="BB82" s="15">
        <v>4.0</v>
      </c>
      <c r="BC82" s="15">
        <v>5.0</v>
      </c>
      <c r="BD82" s="15">
        <v>4.0</v>
      </c>
      <c r="BE82" s="15">
        <v>5.0</v>
      </c>
      <c r="BF82" s="15">
        <v>5.0</v>
      </c>
      <c r="BG82" s="15">
        <v>5.0</v>
      </c>
      <c r="BH82" s="21">
        <f t="shared" si="8"/>
        <v>28</v>
      </c>
      <c r="BI82" s="15">
        <v>5.0</v>
      </c>
      <c r="BJ82" s="15">
        <v>5.0</v>
      </c>
      <c r="BK82" s="15">
        <v>5.0</v>
      </c>
      <c r="BL82" s="15">
        <v>5.0</v>
      </c>
      <c r="BM82" s="15">
        <v>5.0</v>
      </c>
      <c r="BN82" s="15">
        <v>5.0</v>
      </c>
      <c r="BO82" s="21">
        <f t="shared" si="9"/>
        <v>30</v>
      </c>
      <c r="BP82" s="22">
        <v>4.0</v>
      </c>
      <c r="BQ82" s="15">
        <v>5.0</v>
      </c>
      <c r="BR82" s="15">
        <v>5.0</v>
      </c>
      <c r="BS82" s="15">
        <v>4.0</v>
      </c>
      <c r="BT82" s="15">
        <v>3.0</v>
      </c>
      <c r="BU82" s="15">
        <v>2.0</v>
      </c>
      <c r="BV82" s="15">
        <v>4.0</v>
      </c>
      <c r="BW82" s="15">
        <v>4.0</v>
      </c>
      <c r="BX82" s="15">
        <v>4.0</v>
      </c>
      <c r="BY82" s="15">
        <v>4.0</v>
      </c>
      <c r="BZ82" s="15">
        <v>4.0</v>
      </c>
      <c r="CA82" s="15">
        <v>5.0</v>
      </c>
      <c r="CB82" s="23">
        <f t="shared" si="10"/>
        <v>48</v>
      </c>
      <c r="CC82" s="24">
        <v>19.0</v>
      </c>
      <c r="CD82" s="18">
        <v>26.0</v>
      </c>
      <c r="CE82" s="18">
        <v>20.0</v>
      </c>
      <c r="CF82" s="19">
        <v>13.0</v>
      </c>
      <c r="CG82" s="19">
        <v>29.0</v>
      </c>
      <c r="CH82" s="20">
        <v>27.0</v>
      </c>
      <c r="CI82" s="25">
        <v>28.0</v>
      </c>
      <c r="CJ82" s="25">
        <v>30.0</v>
      </c>
      <c r="CK82" s="26" t="str">
        <f t="shared" si="11"/>
        <v>Musical Intelligence</v>
      </c>
      <c r="CL82" s="26"/>
    </row>
    <row r="83" ht="22.5" customHeight="1">
      <c r="A83" s="14">
        <v>46036.62784850695</v>
      </c>
      <c r="B83" s="15" t="s">
        <v>89</v>
      </c>
      <c r="C83" s="15" t="s">
        <v>90</v>
      </c>
      <c r="D83" s="15" t="s">
        <v>111</v>
      </c>
      <c r="E83" s="15" t="s">
        <v>97</v>
      </c>
      <c r="F83" s="27"/>
      <c r="G83" s="15">
        <v>5.0</v>
      </c>
      <c r="H83" s="15">
        <v>5.0</v>
      </c>
      <c r="I83" s="15">
        <v>3.0</v>
      </c>
      <c r="J83" s="15">
        <v>2.0</v>
      </c>
      <c r="K83" s="17">
        <f t="shared" si="1"/>
        <v>15</v>
      </c>
      <c r="L83" s="15">
        <v>4.0</v>
      </c>
      <c r="M83" s="15">
        <v>4.0</v>
      </c>
      <c r="N83" s="15">
        <v>4.0</v>
      </c>
      <c r="O83" s="15">
        <v>2.0</v>
      </c>
      <c r="P83" s="15">
        <v>3.0</v>
      </c>
      <c r="Q83" s="15">
        <v>5.0</v>
      </c>
      <c r="R83" s="18">
        <f t="shared" si="2"/>
        <v>22</v>
      </c>
      <c r="S83" s="15">
        <v>2.0</v>
      </c>
      <c r="T83" s="15">
        <v>1.0</v>
      </c>
      <c r="U83" s="15">
        <v>1.0</v>
      </c>
      <c r="V83" s="15">
        <v>1.0</v>
      </c>
      <c r="W83" s="15">
        <v>1.0</v>
      </c>
      <c r="X83" s="15">
        <v>1.0</v>
      </c>
      <c r="Y83" s="18">
        <f t="shared" si="3"/>
        <v>7</v>
      </c>
      <c r="Z83" s="15">
        <v>4.0</v>
      </c>
      <c r="AA83" s="15">
        <v>3.0</v>
      </c>
      <c r="AB83" s="15">
        <v>4.0</v>
      </c>
      <c r="AC83" s="15">
        <v>4.0</v>
      </c>
      <c r="AD83" s="15">
        <v>3.0</v>
      </c>
      <c r="AE83" s="15">
        <v>4.0</v>
      </c>
      <c r="AF83" s="18">
        <f t="shared" si="4"/>
        <v>22</v>
      </c>
      <c r="AG83" s="15">
        <v>3.0</v>
      </c>
      <c r="AH83" s="15">
        <v>4.0</v>
      </c>
      <c r="AI83" s="15">
        <v>3.0</v>
      </c>
      <c r="AJ83" s="15">
        <v>5.0</v>
      </c>
      <c r="AK83" s="15">
        <v>5.0</v>
      </c>
      <c r="AL83" s="15">
        <v>5.0</v>
      </c>
      <c r="AM83" s="19">
        <f t="shared" si="5"/>
        <v>25</v>
      </c>
      <c r="AN83" s="15">
        <v>5.0</v>
      </c>
      <c r="AO83" s="15">
        <v>4.0</v>
      </c>
      <c r="AP83" s="15">
        <v>5.0</v>
      </c>
      <c r="AQ83" s="15">
        <v>4.0</v>
      </c>
      <c r="AR83" s="15">
        <v>4.0</v>
      </c>
      <c r="AS83" s="15">
        <v>5.0</v>
      </c>
      <c r="AT83" s="19">
        <f t="shared" si="6"/>
        <v>27</v>
      </c>
      <c r="AU83" s="15">
        <v>4.0</v>
      </c>
      <c r="AV83" s="15">
        <v>4.0</v>
      </c>
      <c r="AW83" s="15">
        <v>4.0</v>
      </c>
      <c r="AX83" s="15">
        <v>4.0</v>
      </c>
      <c r="AY83" s="15">
        <v>4.0</v>
      </c>
      <c r="AZ83" s="15">
        <v>4.0</v>
      </c>
      <c r="BA83" s="20">
        <f t="shared" si="7"/>
        <v>24</v>
      </c>
      <c r="BB83" s="15">
        <v>1.0</v>
      </c>
      <c r="BC83" s="15">
        <v>1.0</v>
      </c>
      <c r="BD83" s="15">
        <v>3.0</v>
      </c>
      <c r="BE83" s="15">
        <v>4.0</v>
      </c>
      <c r="BF83" s="15">
        <v>1.0</v>
      </c>
      <c r="BG83" s="15">
        <v>1.0</v>
      </c>
      <c r="BH83" s="21">
        <f t="shared" si="8"/>
        <v>11</v>
      </c>
      <c r="BI83" s="15">
        <v>1.0</v>
      </c>
      <c r="BJ83" s="15">
        <v>2.0</v>
      </c>
      <c r="BK83" s="15">
        <v>2.0</v>
      </c>
      <c r="BL83" s="15">
        <v>2.0</v>
      </c>
      <c r="BM83" s="15">
        <v>3.0</v>
      </c>
      <c r="BN83" s="15">
        <v>2.0</v>
      </c>
      <c r="BO83" s="21">
        <f t="shared" si="9"/>
        <v>12</v>
      </c>
      <c r="BP83" s="22">
        <v>4.0</v>
      </c>
      <c r="BQ83" s="15">
        <v>4.0</v>
      </c>
      <c r="BR83" s="15">
        <v>1.0</v>
      </c>
      <c r="BS83" s="15">
        <v>2.0</v>
      </c>
      <c r="BT83" s="15">
        <v>2.0</v>
      </c>
      <c r="BU83" s="15">
        <v>2.0</v>
      </c>
      <c r="BV83" s="15">
        <v>2.0</v>
      </c>
      <c r="BW83" s="15">
        <v>1.0</v>
      </c>
      <c r="BX83" s="15">
        <v>1.0</v>
      </c>
      <c r="BY83" s="15">
        <v>1.0</v>
      </c>
      <c r="BZ83" s="15">
        <v>1.0</v>
      </c>
      <c r="CA83" s="15">
        <v>1.0</v>
      </c>
      <c r="CB83" s="23">
        <f t="shared" si="10"/>
        <v>22</v>
      </c>
      <c r="CC83" s="24">
        <v>22.0</v>
      </c>
      <c r="CD83" s="18">
        <v>7.0</v>
      </c>
      <c r="CE83" s="18">
        <v>22.0</v>
      </c>
      <c r="CF83" s="19">
        <v>25.0</v>
      </c>
      <c r="CG83" s="19">
        <v>27.0</v>
      </c>
      <c r="CH83" s="20">
        <v>24.0</v>
      </c>
      <c r="CI83" s="25">
        <v>11.0</v>
      </c>
      <c r="CJ83" s="25">
        <v>12.0</v>
      </c>
      <c r="CK83" s="26" t="str">
        <f t="shared" si="11"/>
        <v>Linguistic Intelligence</v>
      </c>
      <c r="CL83" s="26"/>
    </row>
    <row r="84" ht="22.5" customHeight="1">
      <c r="A84" s="14">
        <v>46036.700662256946</v>
      </c>
      <c r="B84" s="15" t="s">
        <v>89</v>
      </c>
      <c r="C84" s="15" t="s">
        <v>90</v>
      </c>
      <c r="D84" s="15" t="s">
        <v>111</v>
      </c>
      <c r="E84" s="15" t="s">
        <v>97</v>
      </c>
      <c r="F84" s="27"/>
      <c r="G84" s="15">
        <v>3.0</v>
      </c>
      <c r="H84" s="15">
        <v>5.0</v>
      </c>
      <c r="I84" s="15">
        <v>2.0</v>
      </c>
      <c r="J84" s="15">
        <v>5.0</v>
      </c>
      <c r="K84" s="17">
        <f t="shared" si="1"/>
        <v>15</v>
      </c>
      <c r="L84" s="15">
        <v>4.0</v>
      </c>
      <c r="M84" s="15">
        <v>3.0</v>
      </c>
      <c r="N84" s="15">
        <v>5.0</v>
      </c>
      <c r="O84" s="15">
        <v>5.0</v>
      </c>
      <c r="P84" s="15">
        <v>3.0</v>
      </c>
      <c r="Q84" s="15">
        <v>5.0</v>
      </c>
      <c r="R84" s="18">
        <f t="shared" si="2"/>
        <v>25</v>
      </c>
      <c r="S84" s="15">
        <v>4.0</v>
      </c>
      <c r="T84" s="15">
        <v>4.0</v>
      </c>
      <c r="U84" s="15">
        <v>1.0</v>
      </c>
      <c r="V84" s="15">
        <v>4.0</v>
      </c>
      <c r="W84" s="15">
        <v>5.0</v>
      </c>
      <c r="X84" s="15">
        <v>5.0</v>
      </c>
      <c r="Y84" s="18">
        <f t="shared" si="3"/>
        <v>23</v>
      </c>
      <c r="Z84" s="15">
        <v>2.0</v>
      </c>
      <c r="AA84" s="15">
        <v>2.0</v>
      </c>
      <c r="AB84" s="15">
        <v>3.0</v>
      </c>
      <c r="AC84" s="15">
        <v>5.0</v>
      </c>
      <c r="AD84" s="15">
        <v>4.0</v>
      </c>
      <c r="AE84" s="15">
        <v>2.0</v>
      </c>
      <c r="AF84" s="18">
        <f t="shared" si="4"/>
        <v>18</v>
      </c>
      <c r="AG84" s="15">
        <v>3.0</v>
      </c>
      <c r="AH84" s="15">
        <v>1.0</v>
      </c>
      <c r="AI84" s="15">
        <v>3.0</v>
      </c>
      <c r="AJ84" s="15">
        <v>3.0</v>
      </c>
      <c r="AK84" s="15">
        <v>3.0</v>
      </c>
      <c r="AL84" s="15">
        <v>3.0</v>
      </c>
      <c r="AM84" s="19">
        <f t="shared" si="5"/>
        <v>16</v>
      </c>
      <c r="AN84" s="15">
        <v>5.0</v>
      </c>
      <c r="AO84" s="15">
        <v>5.0</v>
      </c>
      <c r="AP84" s="15">
        <v>5.0</v>
      </c>
      <c r="AQ84" s="15">
        <v>5.0</v>
      </c>
      <c r="AR84" s="15">
        <v>5.0</v>
      </c>
      <c r="AS84" s="15">
        <v>5.0</v>
      </c>
      <c r="AT84" s="19">
        <f t="shared" si="6"/>
        <v>30</v>
      </c>
      <c r="AU84" s="15">
        <v>5.0</v>
      </c>
      <c r="AV84" s="15">
        <v>5.0</v>
      </c>
      <c r="AW84" s="15">
        <v>3.0</v>
      </c>
      <c r="AX84" s="15">
        <v>5.0</v>
      </c>
      <c r="AY84" s="15">
        <v>5.0</v>
      </c>
      <c r="AZ84" s="15">
        <v>5.0</v>
      </c>
      <c r="BA84" s="20">
        <f t="shared" si="7"/>
        <v>28</v>
      </c>
      <c r="BB84" s="15">
        <v>3.0</v>
      </c>
      <c r="BC84" s="15">
        <v>2.0</v>
      </c>
      <c r="BD84" s="15">
        <v>4.0</v>
      </c>
      <c r="BE84" s="15">
        <v>4.0</v>
      </c>
      <c r="BF84" s="15">
        <v>1.0</v>
      </c>
      <c r="BG84" s="15">
        <v>5.0</v>
      </c>
      <c r="BH84" s="21">
        <f t="shared" si="8"/>
        <v>19</v>
      </c>
      <c r="BI84" s="15">
        <v>5.0</v>
      </c>
      <c r="BJ84" s="15">
        <v>5.0</v>
      </c>
      <c r="BK84" s="15">
        <v>5.0</v>
      </c>
      <c r="BL84" s="15">
        <v>5.0</v>
      </c>
      <c r="BM84" s="15">
        <v>5.0</v>
      </c>
      <c r="BN84" s="15">
        <v>5.0</v>
      </c>
      <c r="BO84" s="21">
        <f t="shared" si="9"/>
        <v>30</v>
      </c>
      <c r="BP84" s="22">
        <v>3.0</v>
      </c>
      <c r="BQ84" s="15">
        <v>5.0</v>
      </c>
      <c r="BR84" s="15">
        <v>5.0</v>
      </c>
      <c r="BS84" s="15">
        <v>5.0</v>
      </c>
      <c r="BT84" s="15">
        <v>3.0</v>
      </c>
      <c r="BU84" s="15">
        <v>2.0</v>
      </c>
      <c r="BV84" s="15">
        <v>4.0</v>
      </c>
      <c r="BW84" s="15">
        <v>3.0</v>
      </c>
      <c r="BX84" s="15">
        <v>4.0</v>
      </c>
      <c r="BY84" s="15">
        <v>5.0</v>
      </c>
      <c r="BZ84" s="15">
        <v>5.0</v>
      </c>
      <c r="CA84" s="15">
        <v>4.0</v>
      </c>
      <c r="CB84" s="23">
        <f t="shared" si="10"/>
        <v>48</v>
      </c>
      <c r="CC84" s="24">
        <v>25.0</v>
      </c>
      <c r="CD84" s="18">
        <v>23.0</v>
      </c>
      <c r="CE84" s="18">
        <v>18.0</v>
      </c>
      <c r="CF84" s="19">
        <v>16.0</v>
      </c>
      <c r="CG84" s="19">
        <v>30.0</v>
      </c>
      <c r="CH84" s="20">
        <v>28.0</v>
      </c>
      <c r="CI84" s="25">
        <v>19.0</v>
      </c>
      <c r="CJ84" s="25">
        <v>30.0</v>
      </c>
      <c r="CK84" s="26" t="str">
        <f t="shared" si="11"/>
        <v>Linguistic Intelligence</v>
      </c>
      <c r="CL84" s="26"/>
    </row>
    <row r="85" ht="22.5" customHeight="1">
      <c r="A85" s="14">
        <v>46036.71456337963</v>
      </c>
      <c r="B85" s="15" t="s">
        <v>89</v>
      </c>
      <c r="C85" s="15" t="s">
        <v>90</v>
      </c>
      <c r="D85" s="15" t="s">
        <v>111</v>
      </c>
      <c r="E85" s="15" t="s">
        <v>108</v>
      </c>
      <c r="F85" s="27"/>
      <c r="G85" s="15">
        <v>4.0</v>
      </c>
      <c r="H85" s="15">
        <v>5.0</v>
      </c>
      <c r="I85" s="15">
        <v>2.0</v>
      </c>
      <c r="J85" s="15">
        <v>2.0</v>
      </c>
      <c r="K85" s="17">
        <f t="shared" si="1"/>
        <v>13</v>
      </c>
      <c r="L85" s="15">
        <v>5.0</v>
      </c>
      <c r="M85" s="15">
        <v>3.0</v>
      </c>
      <c r="N85" s="15">
        <v>4.0</v>
      </c>
      <c r="O85" s="15">
        <v>2.0</v>
      </c>
      <c r="P85" s="15">
        <v>2.0</v>
      </c>
      <c r="Q85" s="15">
        <v>3.0</v>
      </c>
      <c r="R85" s="18">
        <f t="shared" si="2"/>
        <v>19</v>
      </c>
      <c r="S85" s="15">
        <v>4.0</v>
      </c>
      <c r="T85" s="15">
        <v>4.0</v>
      </c>
      <c r="U85" s="15">
        <v>4.0</v>
      </c>
      <c r="V85" s="15">
        <v>4.0</v>
      </c>
      <c r="W85" s="15">
        <v>4.0</v>
      </c>
      <c r="X85" s="15">
        <v>4.0</v>
      </c>
      <c r="Y85" s="18">
        <f t="shared" si="3"/>
        <v>24</v>
      </c>
      <c r="Z85" s="15">
        <v>5.0</v>
      </c>
      <c r="AA85" s="15">
        <v>5.0</v>
      </c>
      <c r="AB85" s="15">
        <v>4.0</v>
      </c>
      <c r="AC85" s="15">
        <v>3.0</v>
      </c>
      <c r="AD85" s="15">
        <v>4.0</v>
      </c>
      <c r="AE85" s="15">
        <v>5.0</v>
      </c>
      <c r="AF85" s="18">
        <f t="shared" si="4"/>
        <v>26</v>
      </c>
      <c r="AG85" s="15">
        <v>3.0</v>
      </c>
      <c r="AH85" s="15">
        <v>3.0</v>
      </c>
      <c r="AI85" s="15">
        <v>1.0</v>
      </c>
      <c r="AJ85" s="15">
        <v>1.0</v>
      </c>
      <c r="AK85" s="15">
        <v>2.0</v>
      </c>
      <c r="AL85" s="15">
        <v>2.0</v>
      </c>
      <c r="AM85" s="19">
        <f t="shared" si="5"/>
        <v>12</v>
      </c>
      <c r="AN85" s="15">
        <v>4.0</v>
      </c>
      <c r="AO85" s="15">
        <v>4.0</v>
      </c>
      <c r="AP85" s="15">
        <v>2.0</v>
      </c>
      <c r="AQ85" s="15">
        <v>4.0</v>
      </c>
      <c r="AR85" s="15">
        <v>3.0</v>
      </c>
      <c r="AS85" s="15">
        <v>3.0</v>
      </c>
      <c r="AT85" s="19">
        <f t="shared" si="6"/>
        <v>20</v>
      </c>
      <c r="AU85" s="15">
        <v>3.0</v>
      </c>
      <c r="AV85" s="15">
        <v>3.0</v>
      </c>
      <c r="AW85" s="15">
        <v>2.0</v>
      </c>
      <c r="AX85" s="15">
        <v>3.0</v>
      </c>
      <c r="AY85" s="15">
        <v>2.0</v>
      </c>
      <c r="AZ85" s="15">
        <v>3.0</v>
      </c>
      <c r="BA85" s="20">
        <f t="shared" si="7"/>
        <v>16</v>
      </c>
      <c r="BB85" s="15">
        <v>2.0</v>
      </c>
      <c r="BC85" s="15">
        <v>2.0</v>
      </c>
      <c r="BD85" s="15">
        <v>3.0</v>
      </c>
      <c r="BE85" s="15">
        <v>4.0</v>
      </c>
      <c r="BF85" s="15">
        <v>5.0</v>
      </c>
      <c r="BG85" s="15">
        <v>5.0</v>
      </c>
      <c r="BH85" s="21">
        <f t="shared" si="8"/>
        <v>21</v>
      </c>
      <c r="BI85" s="15">
        <v>2.0</v>
      </c>
      <c r="BJ85" s="15">
        <v>5.0</v>
      </c>
      <c r="BK85" s="15">
        <v>3.0</v>
      </c>
      <c r="BL85" s="15">
        <v>5.0</v>
      </c>
      <c r="BM85" s="15">
        <v>5.0</v>
      </c>
      <c r="BN85" s="15">
        <v>3.0</v>
      </c>
      <c r="BO85" s="21">
        <f t="shared" si="9"/>
        <v>23</v>
      </c>
      <c r="BP85" s="22">
        <v>3.0</v>
      </c>
      <c r="BQ85" s="15">
        <v>4.0</v>
      </c>
      <c r="BR85" s="15">
        <v>4.0</v>
      </c>
      <c r="BS85" s="15">
        <v>4.0</v>
      </c>
      <c r="BT85" s="15">
        <v>2.0</v>
      </c>
      <c r="BU85" s="15">
        <v>3.0</v>
      </c>
      <c r="BV85" s="15">
        <v>5.0</v>
      </c>
      <c r="BW85" s="15">
        <v>3.0</v>
      </c>
      <c r="BX85" s="15">
        <v>4.0</v>
      </c>
      <c r="BY85" s="15">
        <v>5.0</v>
      </c>
      <c r="BZ85" s="15">
        <v>4.0</v>
      </c>
      <c r="CA85" s="15">
        <v>4.0</v>
      </c>
      <c r="CB85" s="23">
        <f t="shared" si="10"/>
        <v>45</v>
      </c>
      <c r="CC85" s="24">
        <v>19.0</v>
      </c>
      <c r="CD85" s="18">
        <v>24.0</v>
      </c>
      <c r="CE85" s="18">
        <v>26.0</v>
      </c>
      <c r="CF85" s="19">
        <v>12.0</v>
      </c>
      <c r="CG85" s="19">
        <v>20.0</v>
      </c>
      <c r="CH85" s="20">
        <v>16.0</v>
      </c>
      <c r="CI85" s="25">
        <v>21.0</v>
      </c>
      <c r="CJ85" s="25">
        <v>23.0</v>
      </c>
      <c r="CK85" s="26" t="str">
        <f t="shared" si="11"/>
        <v>Logical–Mathematical Intelligence</v>
      </c>
      <c r="CL85" s="26"/>
    </row>
    <row r="86" ht="22.5" customHeight="1">
      <c r="A86" s="14">
        <v>46037.57352236111</v>
      </c>
      <c r="B86" s="15" t="s">
        <v>89</v>
      </c>
      <c r="C86" s="15" t="s">
        <v>90</v>
      </c>
      <c r="D86" s="15" t="s">
        <v>111</v>
      </c>
      <c r="E86" s="15" t="s">
        <v>97</v>
      </c>
      <c r="F86" s="27"/>
      <c r="G86" s="15">
        <v>4.0</v>
      </c>
      <c r="H86" s="15">
        <v>5.0</v>
      </c>
      <c r="I86" s="15">
        <v>4.0</v>
      </c>
      <c r="J86" s="15">
        <v>5.0</v>
      </c>
      <c r="K86" s="17">
        <f t="shared" si="1"/>
        <v>18</v>
      </c>
      <c r="L86" s="15">
        <v>4.0</v>
      </c>
      <c r="M86" s="15">
        <v>3.0</v>
      </c>
      <c r="N86" s="15">
        <v>3.0</v>
      </c>
      <c r="O86" s="15">
        <v>4.0</v>
      </c>
      <c r="P86" s="15">
        <v>5.0</v>
      </c>
      <c r="Q86" s="15">
        <v>5.0</v>
      </c>
      <c r="R86" s="18">
        <f t="shared" si="2"/>
        <v>24</v>
      </c>
      <c r="S86" s="15">
        <v>4.0</v>
      </c>
      <c r="T86" s="15">
        <v>5.0</v>
      </c>
      <c r="U86" s="15">
        <v>4.0</v>
      </c>
      <c r="V86" s="15">
        <v>4.0</v>
      </c>
      <c r="W86" s="15">
        <v>4.0</v>
      </c>
      <c r="X86" s="15">
        <v>5.0</v>
      </c>
      <c r="Y86" s="18">
        <f t="shared" si="3"/>
        <v>26</v>
      </c>
      <c r="Z86" s="15">
        <v>3.0</v>
      </c>
      <c r="AA86" s="15">
        <v>4.0</v>
      </c>
      <c r="AB86" s="15">
        <v>4.0</v>
      </c>
      <c r="AC86" s="15">
        <v>3.0</v>
      </c>
      <c r="AD86" s="15">
        <v>5.0</v>
      </c>
      <c r="AE86" s="15">
        <v>5.0</v>
      </c>
      <c r="AF86" s="18">
        <f t="shared" si="4"/>
        <v>24</v>
      </c>
      <c r="AG86" s="15">
        <v>2.0</v>
      </c>
      <c r="AH86" s="15">
        <v>2.0</v>
      </c>
      <c r="AI86" s="15">
        <v>2.0</v>
      </c>
      <c r="AJ86" s="15">
        <v>2.0</v>
      </c>
      <c r="AK86" s="15">
        <v>2.0</v>
      </c>
      <c r="AL86" s="15">
        <v>3.0</v>
      </c>
      <c r="AM86" s="19">
        <f t="shared" si="5"/>
        <v>13</v>
      </c>
      <c r="AN86" s="15">
        <v>5.0</v>
      </c>
      <c r="AO86" s="15">
        <v>4.0</v>
      </c>
      <c r="AP86" s="15">
        <v>5.0</v>
      </c>
      <c r="AQ86" s="15">
        <v>4.0</v>
      </c>
      <c r="AR86" s="15">
        <v>5.0</v>
      </c>
      <c r="AS86" s="15">
        <v>5.0</v>
      </c>
      <c r="AT86" s="19">
        <f t="shared" si="6"/>
        <v>28</v>
      </c>
      <c r="AU86" s="15">
        <v>3.0</v>
      </c>
      <c r="AV86" s="15">
        <v>4.0</v>
      </c>
      <c r="AW86" s="15">
        <v>4.0</v>
      </c>
      <c r="AX86" s="15">
        <v>4.0</v>
      </c>
      <c r="AY86" s="15">
        <v>3.0</v>
      </c>
      <c r="AZ86" s="15">
        <v>4.0</v>
      </c>
      <c r="BA86" s="20">
        <f t="shared" si="7"/>
        <v>22</v>
      </c>
      <c r="BB86" s="15">
        <v>5.0</v>
      </c>
      <c r="BC86" s="15">
        <v>5.0</v>
      </c>
      <c r="BD86" s="15">
        <v>4.0</v>
      </c>
      <c r="BE86" s="15">
        <v>5.0</v>
      </c>
      <c r="BF86" s="15">
        <v>4.0</v>
      </c>
      <c r="BG86" s="15">
        <v>4.0</v>
      </c>
      <c r="BH86" s="21">
        <f t="shared" si="8"/>
        <v>27</v>
      </c>
      <c r="BI86" s="15">
        <v>3.0</v>
      </c>
      <c r="BJ86" s="15">
        <v>3.0</v>
      </c>
      <c r="BK86" s="15">
        <v>2.0</v>
      </c>
      <c r="BL86" s="15">
        <v>3.0</v>
      </c>
      <c r="BM86" s="15">
        <v>4.0</v>
      </c>
      <c r="BN86" s="15">
        <v>4.0</v>
      </c>
      <c r="BO86" s="21">
        <f t="shared" si="9"/>
        <v>19</v>
      </c>
      <c r="BP86" s="22">
        <v>4.0</v>
      </c>
      <c r="BQ86" s="15">
        <v>4.0</v>
      </c>
      <c r="BR86" s="15">
        <v>5.0</v>
      </c>
      <c r="BS86" s="15">
        <v>4.0</v>
      </c>
      <c r="BT86" s="15">
        <v>5.0</v>
      </c>
      <c r="BU86" s="15">
        <v>5.0</v>
      </c>
      <c r="BV86" s="15">
        <v>5.0</v>
      </c>
      <c r="BW86" s="15">
        <v>4.0</v>
      </c>
      <c r="BX86" s="15">
        <v>4.0</v>
      </c>
      <c r="BY86" s="15">
        <v>4.0</v>
      </c>
      <c r="BZ86" s="15">
        <v>4.0</v>
      </c>
      <c r="CA86" s="15">
        <v>5.0</v>
      </c>
      <c r="CB86" s="23">
        <f t="shared" si="10"/>
        <v>53</v>
      </c>
      <c r="CC86" s="24">
        <v>24.0</v>
      </c>
      <c r="CD86" s="18">
        <v>26.0</v>
      </c>
      <c r="CE86" s="18">
        <v>24.0</v>
      </c>
      <c r="CF86" s="19">
        <v>13.0</v>
      </c>
      <c r="CG86" s="19">
        <v>28.0</v>
      </c>
      <c r="CH86" s="20">
        <v>22.0</v>
      </c>
      <c r="CI86" s="25">
        <v>27.0</v>
      </c>
      <c r="CJ86" s="25">
        <v>19.0</v>
      </c>
      <c r="CK86" s="26" t="str">
        <f t="shared" si="11"/>
        <v>Linguistic Intelligence</v>
      </c>
      <c r="CL86" s="26"/>
    </row>
    <row r="87" ht="22.5" customHeight="1">
      <c r="A87" s="14">
        <v>46037.77597861111</v>
      </c>
      <c r="B87" s="15" t="s">
        <v>89</v>
      </c>
      <c r="C87" s="15" t="s">
        <v>90</v>
      </c>
      <c r="D87" s="15" t="s">
        <v>111</v>
      </c>
      <c r="E87" s="15" t="s">
        <v>108</v>
      </c>
      <c r="F87" s="27"/>
      <c r="G87" s="15">
        <v>4.0</v>
      </c>
      <c r="H87" s="15">
        <v>4.0</v>
      </c>
      <c r="I87" s="15">
        <v>4.0</v>
      </c>
      <c r="J87" s="15">
        <v>4.0</v>
      </c>
      <c r="K87" s="17">
        <f t="shared" si="1"/>
        <v>16</v>
      </c>
      <c r="L87" s="15">
        <v>4.0</v>
      </c>
      <c r="M87" s="15">
        <v>3.0</v>
      </c>
      <c r="N87" s="15">
        <v>4.0</v>
      </c>
      <c r="O87" s="15">
        <v>4.0</v>
      </c>
      <c r="P87" s="15">
        <v>3.0</v>
      </c>
      <c r="Q87" s="15">
        <v>5.0</v>
      </c>
      <c r="R87" s="18">
        <f t="shared" si="2"/>
        <v>23</v>
      </c>
      <c r="S87" s="15">
        <v>3.0</v>
      </c>
      <c r="T87" s="15">
        <v>3.0</v>
      </c>
      <c r="U87" s="15">
        <v>3.0</v>
      </c>
      <c r="V87" s="15">
        <v>5.0</v>
      </c>
      <c r="W87" s="15">
        <v>5.0</v>
      </c>
      <c r="X87" s="15">
        <v>4.0</v>
      </c>
      <c r="Y87" s="18">
        <f t="shared" si="3"/>
        <v>23</v>
      </c>
      <c r="Z87" s="15">
        <v>2.0</v>
      </c>
      <c r="AA87" s="15">
        <v>2.0</v>
      </c>
      <c r="AB87" s="15">
        <v>3.0</v>
      </c>
      <c r="AC87" s="15">
        <v>3.0</v>
      </c>
      <c r="AD87" s="15">
        <v>3.0</v>
      </c>
      <c r="AE87" s="15">
        <v>5.0</v>
      </c>
      <c r="AF87" s="18">
        <f t="shared" si="4"/>
        <v>18</v>
      </c>
      <c r="AG87" s="15">
        <v>3.0</v>
      </c>
      <c r="AH87" s="15">
        <v>3.0</v>
      </c>
      <c r="AI87" s="15">
        <v>3.0</v>
      </c>
      <c r="AJ87" s="15">
        <v>4.0</v>
      </c>
      <c r="AK87" s="15">
        <v>4.0</v>
      </c>
      <c r="AL87" s="15">
        <v>5.0</v>
      </c>
      <c r="AM87" s="19">
        <f t="shared" si="5"/>
        <v>22</v>
      </c>
      <c r="AN87" s="15">
        <v>5.0</v>
      </c>
      <c r="AO87" s="15">
        <v>5.0</v>
      </c>
      <c r="AP87" s="15">
        <v>5.0</v>
      </c>
      <c r="AQ87" s="15">
        <v>5.0</v>
      </c>
      <c r="AR87" s="15">
        <v>3.0</v>
      </c>
      <c r="AS87" s="15">
        <v>4.0</v>
      </c>
      <c r="AT87" s="19">
        <f t="shared" si="6"/>
        <v>27</v>
      </c>
      <c r="AU87" s="15">
        <v>4.0</v>
      </c>
      <c r="AV87" s="15">
        <v>4.0</v>
      </c>
      <c r="AW87" s="15">
        <v>4.0</v>
      </c>
      <c r="AX87" s="15">
        <v>4.0</v>
      </c>
      <c r="AY87" s="15">
        <v>5.0</v>
      </c>
      <c r="AZ87" s="15">
        <v>4.0</v>
      </c>
      <c r="BA87" s="20">
        <f t="shared" si="7"/>
        <v>25</v>
      </c>
      <c r="BB87" s="15">
        <v>3.0</v>
      </c>
      <c r="BC87" s="15">
        <v>4.0</v>
      </c>
      <c r="BD87" s="15">
        <v>3.0</v>
      </c>
      <c r="BE87" s="15">
        <v>3.0</v>
      </c>
      <c r="BF87" s="15">
        <v>3.0</v>
      </c>
      <c r="BG87" s="15">
        <v>3.0</v>
      </c>
      <c r="BH87" s="21">
        <f t="shared" si="8"/>
        <v>19</v>
      </c>
      <c r="BI87" s="15">
        <v>4.0</v>
      </c>
      <c r="BJ87" s="15">
        <v>5.0</v>
      </c>
      <c r="BK87" s="15">
        <v>5.0</v>
      </c>
      <c r="BL87" s="15">
        <v>5.0</v>
      </c>
      <c r="BM87" s="15">
        <v>4.0</v>
      </c>
      <c r="BN87" s="15">
        <v>5.0</v>
      </c>
      <c r="BO87" s="21">
        <f t="shared" si="9"/>
        <v>28</v>
      </c>
      <c r="BP87" s="22">
        <v>4.0</v>
      </c>
      <c r="BQ87" s="15">
        <v>4.0</v>
      </c>
      <c r="BR87" s="15">
        <v>4.0</v>
      </c>
      <c r="BS87" s="15">
        <v>3.0</v>
      </c>
      <c r="BT87" s="15">
        <v>3.0</v>
      </c>
      <c r="BU87" s="15">
        <v>4.0</v>
      </c>
      <c r="BV87" s="15">
        <v>4.0</v>
      </c>
      <c r="BW87" s="15">
        <v>4.0</v>
      </c>
      <c r="BX87" s="15">
        <v>4.0</v>
      </c>
      <c r="BY87" s="15">
        <v>4.0</v>
      </c>
      <c r="BZ87" s="15">
        <v>4.0</v>
      </c>
      <c r="CA87" s="15">
        <v>4.0</v>
      </c>
      <c r="CB87" s="23">
        <f t="shared" si="10"/>
        <v>46</v>
      </c>
      <c r="CC87" s="24">
        <v>23.0</v>
      </c>
      <c r="CD87" s="18">
        <v>23.0</v>
      </c>
      <c r="CE87" s="18">
        <v>18.0</v>
      </c>
      <c r="CF87" s="19">
        <v>22.0</v>
      </c>
      <c r="CG87" s="19">
        <v>27.0</v>
      </c>
      <c r="CH87" s="20">
        <v>25.0</v>
      </c>
      <c r="CI87" s="25">
        <v>19.0</v>
      </c>
      <c r="CJ87" s="25">
        <v>28.0</v>
      </c>
      <c r="CK87" s="26" t="str">
        <f t="shared" si="11"/>
        <v>Musical Intelligence</v>
      </c>
      <c r="CL87" s="26"/>
    </row>
    <row r="88" ht="22.5" customHeight="1">
      <c r="A88" s="14">
        <v>46037.90901635417</v>
      </c>
      <c r="B88" s="15" t="s">
        <v>89</v>
      </c>
      <c r="C88" s="15" t="s">
        <v>90</v>
      </c>
      <c r="D88" s="15" t="s">
        <v>111</v>
      </c>
      <c r="E88" s="15" t="s">
        <v>108</v>
      </c>
      <c r="F88" s="16" t="s">
        <v>128</v>
      </c>
      <c r="G88" s="15">
        <v>4.0</v>
      </c>
      <c r="H88" s="15">
        <v>5.0</v>
      </c>
      <c r="I88" s="15">
        <v>2.0</v>
      </c>
      <c r="J88" s="15">
        <v>2.0</v>
      </c>
      <c r="K88" s="17">
        <f t="shared" si="1"/>
        <v>13</v>
      </c>
      <c r="L88" s="15">
        <v>5.0</v>
      </c>
      <c r="M88" s="15">
        <v>4.0</v>
      </c>
      <c r="N88" s="15">
        <v>5.0</v>
      </c>
      <c r="O88" s="15">
        <v>5.0</v>
      </c>
      <c r="P88" s="15">
        <v>3.0</v>
      </c>
      <c r="Q88" s="15">
        <v>4.0</v>
      </c>
      <c r="R88" s="18">
        <f t="shared" si="2"/>
        <v>26</v>
      </c>
      <c r="S88" s="15">
        <v>5.0</v>
      </c>
      <c r="T88" s="15">
        <v>4.0</v>
      </c>
      <c r="U88" s="15">
        <v>2.0</v>
      </c>
      <c r="V88" s="15">
        <v>1.0</v>
      </c>
      <c r="W88" s="15">
        <v>3.0</v>
      </c>
      <c r="X88" s="15">
        <v>5.0</v>
      </c>
      <c r="Y88" s="18">
        <f t="shared" si="3"/>
        <v>20</v>
      </c>
      <c r="Z88" s="15">
        <v>2.0</v>
      </c>
      <c r="AA88" s="15">
        <v>3.0</v>
      </c>
      <c r="AB88" s="15">
        <v>5.0</v>
      </c>
      <c r="AC88" s="15">
        <v>4.0</v>
      </c>
      <c r="AD88" s="15">
        <v>5.0</v>
      </c>
      <c r="AE88" s="15">
        <v>5.0</v>
      </c>
      <c r="AF88" s="18">
        <f t="shared" si="4"/>
        <v>24</v>
      </c>
      <c r="AG88" s="15">
        <v>1.0</v>
      </c>
      <c r="AH88" s="15">
        <v>2.0</v>
      </c>
      <c r="AI88" s="15">
        <v>1.0</v>
      </c>
      <c r="AJ88" s="15">
        <v>3.0</v>
      </c>
      <c r="AK88" s="15">
        <v>5.0</v>
      </c>
      <c r="AL88" s="15">
        <v>4.0</v>
      </c>
      <c r="AM88" s="19">
        <f t="shared" si="5"/>
        <v>16</v>
      </c>
      <c r="AN88" s="15">
        <v>2.0</v>
      </c>
      <c r="AO88" s="15">
        <v>5.0</v>
      </c>
      <c r="AP88" s="15">
        <v>3.0</v>
      </c>
      <c r="AQ88" s="15">
        <v>3.0</v>
      </c>
      <c r="AR88" s="15">
        <v>3.0</v>
      </c>
      <c r="AS88" s="15">
        <v>2.0</v>
      </c>
      <c r="AT88" s="19">
        <f t="shared" si="6"/>
        <v>18</v>
      </c>
      <c r="AU88" s="15">
        <v>3.0</v>
      </c>
      <c r="AV88" s="15">
        <v>3.0</v>
      </c>
      <c r="AW88" s="15">
        <v>1.0</v>
      </c>
      <c r="AX88" s="15">
        <v>3.0</v>
      </c>
      <c r="AY88" s="15">
        <v>3.0</v>
      </c>
      <c r="AZ88" s="15">
        <v>2.0</v>
      </c>
      <c r="BA88" s="20">
        <f t="shared" si="7"/>
        <v>15</v>
      </c>
      <c r="BB88" s="15">
        <v>5.0</v>
      </c>
      <c r="BC88" s="15">
        <v>3.0</v>
      </c>
      <c r="BD88" s="15">
        <v>3.0</v>
      </c>
      <c r="BE88" s="15">
        <v>2.0</v>
      </c>
      <c r="BF88" s="15">
        <v>1.0</v>
      </c>
      <c r="BG88" s="15">
        <v>1.0</v>
      </c>
      <c r="BH88" s="21">
        <f t="shared" si="8"/>
        <v>15</v>
      </c>
      <c r="BI88" s="15">
        <v>4.0</v>
      </c>
      <c r="BJ88" s="15">
        <v>5.0</v>
      </c>
      <c r="BK88" s="15">
        <v>5.0</v>
      </c>
      <c r="BL88" s="15">
        <v>3.0</v>
      </c>
      <c r="BM88" s="15">
        <v>4.0</v>
      </c>
      <c r="BN88" s="15">
        <v>4.0</v>
      </c>
      <c r="BO88" s="21">
        <f t="shared" si="9"/>
        <v>25</v>
      </c>
      <c r="BP88" s="22">
        <v>4.0</v>
      </c>
      <c r="BQ88" s="15">
        <v>5.0</v>
      </c>
      <c r="BR88" s="15">
        <v>4.0</v>
      </c>
      <c r="BS88" s="15">
        <v>3.0</v>
      </c>
      <c r="BT88" s="15">
        <v>2.0</v>
      </c>
      <c r="BU88" s="15">
        <v>3.0</v>
      </c>
      <c r="BV88" s="15">
        <v>4.0</v>
      </c>
      <c r="BW88" s="15">
        <v>5.0</v>
      </c>
      <c r="BX88" s="15">
        <v>5.0</v>
      </c>
      <c r="BY88" s="15">
        <v>4.0</v>
      </c>
      <c r="BZ88" s="15">
        <v>4.0</v>
      </c>
      <c r="CA88" s="15">
        <v>3.0</v>
      </c>
      <c r="CB88" s="23">
        <f t="shared" si="10"/>
        <v>46</v>
      </c>
      <c r="CC88" s="24">
        <v>26.0</v>
      </c>
      <c r="CD88" s="18">
        <v>20.0</v>
      </c>
      <c r="CE88" s="18">
        <v>24.0</v>
      </c>
      <c r="CF88" s="19">
        <v>16.0</v>
      </c>
      <c r="CG88" s="19">
        <v>18.0</v>
      </c>
      <c r="CH88" s="20">
        <v>15.0</v>
      </c>
      <c r="CI88" s="25">
        <v>15.0</v>
      </c>
      <c r="CJ88" s="25">
        <v>25.0</v>
      </c>
      <c r="CK88" s="26" t="str">
        <f t="shared" si="11"/>
        <v>Intrapersonal Intelligence</v>
      </c>
      <c r="CL88" s="26"/>
    </row>
    <row r="89" ht="22.5" customHeight="1">
      <c r="A89" s="14">
        <v>46037.927269120366</v>
      </c>
      <c r="B89" s="15" t="s">
        <v>89</v>
      </c>
      <c r="C89" s="15" t="s">
        <v>90</v>
      </c>
      <c r="D89" s="15" t="s">
        <v>111</v>
      </c>
      <c r="E89" s="15" t="s">
        <v>108</v>
      </c>
      <c r="F89" s="16" t="s">
        <v>129</v>
      </c>
      <c r="G89" s="15">
        <v>4.0</v>
      </c>
      <c r="H89" s="15">
        <v>5.0</v>
      </c>
      <c r="I89" s="15">
        <v>5.0</v>
      </c>
      <c r="J89" s="15">
        <v>5.0</v>
      </c>
      <c r="K89" s="17">
        <f t="shared" si="1"/>
        <v>19</v>
      </c>
      <c r="L89" s="15">
        <v>5.0</v>
      </c>
      <c r="M89" s="15">
        <v>4.0</v>
      </c>
      <c r="N89" s="15">
        <v>5.0</v>
      </c>
      <c r="O89" s="15">
        <v>3.0</v>
      </c>
      <c r="P89" s="15">
        <v>5.0</v>
      </c>
      <c r="Q89" s="15">
        <v>5.0</v>
      </c>
      <c r="R89" s="18">
        <f t="shared" si="2"/>
        <v>27</v>
      </c>
      <c r="S89" s="15">
        <v>4.0</v>
      </c>
      <c r="T89" s="15">
        <v>2.0</v>
      </c>
      <c r="U89" s="15">
        <v>2.0</v>
      </c>
      <c r="V89" s="15">
        <v>2.0</v>
      </c>
      <c r="W89" s="15">
        <v>4.0</v>
      </c>
      <c r="X89" s="15">
        <v>5.0</v>
      </c>
      <c r="Y89" s="18">
        <f t="shared" si="3"/>
        <v>19</v>
      </c>
      <c r="Z89" s="15">
        <v>4.0</v>
      </c>
      <c r="AA89" s="15">
        <v>3.0</v>
      </c>
      <c r="AB89" s="15">
        <v>4.0</v>
      </c>
      <c r="AC89" s="15">
        <v>5.0</v>
      </c>
      <c r="AD89" s="15">
        <v>4.0</v>
      </c>
      <c r="AE89" s="15">
        <v>5.0</v>
      </c>
      <c r="AF89" s="18">
        <f t="shared" si="4"/>
        <v>25</v>
      </c>
      <c r="AG89" s="15">
        <v>2.0</v>
      </c>
      <c r="AH89" s="15">
        <v>1.0</v>
      </c>
      <c r="AI89" s="15">
        <v>1.0</v>
      </c>
      <c r="AJ89" s="15">
        <v>1.0</v>
      </c>
      <c r="AK89" s="15">
        <v>3.0</v>
      </c>
      <c r="AL89" s="15">
        <v>3.0</v>
      </c>
      <c r="AM89" s="19">
        <f t="shared" si="5"/>
        <v>11</v>
      </c>
      <c r="AN89" s="15">
        <v>3.0</v>
      </c>
      <c r="AO89" s="15">
        <v>5.0</v>
      </c>
      <c r="AP89" s="15">
        <v>5.0</v>
      </c>
      <c r="AQ89" s="15">
        <v>4.0</v>
      </c>
      <c r="AR89" s="15">
        <v>5.0</v>
      </c>
      <c r="AS89" s="15">
        <v>5.0</v>
      </c>
      <c r="AT89" s="19">
        <f t="shared" si="6"/>
        <v>27</v>
      </c>
      <c r="AU89" s="15">
        <v>2.0</v>
      </c>
      <c r="AV89" s="15">
        <v>4.0</v>
      </c>
      <c r="AW89" s="15">
        <v>2.0</v>
      </c>
      <c r="AX89" s="15">
        <v>3.0</v>
      </c>
      <c r="AY89" s="15">
        <v>4.0</v>
      </c>
      <c r="AZ89" s="15">
        <v>2.0</v>
      </c>
      <c r="BA89" s="20">
        <f t="shared" si="7"/>
        <v>17</v>
      </c>
      <c r="BB89" s="15">
        <v>2.0</v>
      </c>
      <c r="BC89" s="15">
        <v>4.0</v>
      </c>
      <c r="BD89" s="15">
        <v>2.0</v>
      </c>
      <c r="BE89" s="15">
        <v>3.0</v>
      </c>
      <c r="BF89" s="15">
        <v>4.0</v>
      </c>
      <c r="BG89" s="15">
        <v>3.0</v>
      </c>
      <c r="BH89" s="21">
        <f t="shared" si="8"/>
        <v>18</v>
      </c>
      <c r="BI89" s="15">
        <v>3.0</v>
      </c>
      <c r="BJ89" s="15">
        <v>5.0</v>
      </c>
      <c r="BK89" s="15">
        <v>4.0</v>
      </c>
      <c r="BL89" s="15">
        <v>4.0</v>
      </c>
      <c r="BM89" s="15">
        <v>3.0</v>
      </c>
      <c r="BN89" s="15">
        <v>4.0</v>
      </c>
      <c r="BO89" s="21">
        <f t="shared" si="9"/>
        <v>23</v>
      </c>
      <c r="BP89" s="22">
        <v>3.0</v>
      </c>
      <c r="BQ89" s="15">
        <v>4.0</v>
      </c>
      <c r="BR89" s="15">
        <v>2.0</v>
      </c>
      <c r="BS89" s="15">
        <v>5.0</v>
      </c>
      <c r="BT89" s="15">
        <v>4.0</v>
      </c>
      <c r="BU89" s="15">
        <v>4.0</v>
      </c>
      <c r="BV89" s="15">
        <v>5.0</v>
      </c>
      <c r="BW89" s="15">
        <v>2.0</v>
      </c>
      <c r="BX89" s="15">
        <v>4.0</v>
      </c>
      <c r="BY89" s="15">
        <v>3.0</v>
      </c>
      <c r="BZ89" s="15">
        <v>4.0</v>
      </c>
      <c r="CA89" s="15">
        <v>4.0</v>
      </c>
      <c r="CB89" s="23">
        <f t="shared" si="10"/>
        <v>44</v>
      </c>
      <c r="CC89" s="24">
        <v>27.0</v>
      </c>
      <c r="CD89" s="18">
        <v>19.0</v>
      </c>
      <c r="CE89" s="18">
        <v>25.0</v>
      </c>
      <c r="CF89" s="19">
        <v>11.0</v>
      </c>
      <c r="CG89" s="19">
        <v>27.0</v>
      </c>
      <c r="CH89" s="20">
        <v>17.0</v>
      </c>
      <c r="CI89" s="25">
        <v>18.0</v>
      </c>
      <c r="CJ89" s="25">
        <v>23.0</v>
      </c>
      <c r="CK89" s="26" t="str">
        <f t="shared" si="11"/>
        <v>Intrapersonal Intelligence</v>
      </c>
      <c r="CL89" s="26"/>
    </row>
    <row r="90" ht="22.5" customHeight="1">
      <c r="A90" s="14">
        <v>46038.66287269676</v>
      </c>
      <c r="B90" s="15" t="s">
        <v>89</v>
      </c>
      <c r="C90" s="15" t="s">
        <v>90</v>
      </c>
      <c r="D90" s="15" t="s">
        <v>91</v>
      </c>
      <c r="E90" s="15" t="s">
        <v>108</v>
      </c>
      <c r="F90" s="27"/>
      <c r="G90" s="15">
        <v>4.0</v>
      </c>
      <c r="H90" s="15">
        <v>5.0</v>
      </c>
      <c r="I90" s="15">
        <v>4.0</v>
      </c>
      <c r="J90" s="15">
        <v>4.0</v>
      </c>
      <c r="K90" s="17">
        <f t="shared" si="1"/>
        <v>17</v>
      </c>
      <c r="L90" s="15">
        <v>4.0</v>
      </c>
      <c r="M90" s="15">
        <v>5.0</v>
      </c>
      <c r="N90" s="15">
        <v>4.0</v>
      </c>
      <c r="O90" s="15">
        <v>4.0</v>
      </c>
      <c r="P90" s="15">
        <v>4.0</v>
      </c>
      <c r="Q90" s="15">
        <v>4.0</v>
      </c>
      <c r="R90" s="18">
        <f t="shared" si="2"/>
        <v>25</v>
      </c>
      <c r="S90" s="15">
        <v>4.0</v>
      </c>
      <c r="T90" s="15">
        <v>4.0</v>
      </c>
      <c r="U90" s="15">
        <v>4.0</v>
      </c>
      <c r="V90" s="15">
        <v>3.0</v>
      </c>
      <c r="W90" s="15">
        <v>4.0</v>
      </c>
      <c r="X90" s="15">
        <v>4.0</v>
      </c>
      <c r="Y90" s="18">
        <f t="shared" si="3"/>
        <v>23</v>
      </c>
      <c r="Z90" s="15">
        <v>5.0</v>
      </c>
      <c r="AA90" s="15">
        <v>4.0</v>
      </c>
      <c r="AB90" s="15">
        <v>4.0</v>
      </c>
      <c r="AC90" s="15">
        <v>4.0</v>
      </c>
      <c r="AD90" s="15">
        <v>3.0</v>
      </c>
      <c r="AE90" s="15">
        <v>4.0</v>
      </c>
      <c r="AF90" s="18">
        <f t="shared" si="4"/>
        <v>24</v>
      </c>
      <c r="AG90" s="15">
        <v>3.0</v>
      </c>
      <c r="AH90" s="15">
        <v>3.0</v>
      </c>
      <c r="AI90" s="15">
        <v>4.0</v>
      </c>
      <c r="AJ90" s="15">
        <v>3.0</v>
      </c>
      <c r="AK90" s="15">
        <v>3.0</v>
      </c>
      <c r="AL90" s="15">
        <v>4.0</v>
      </c>
      <c r="AM90" s="19">
        <f t="shared" si="5"/>
        <v>20</v>
      </c>
      <c r="AN90" s="15">
        <v>3.0</v>
      </c>
      <c r="AO90" s="15">
        <v>4.0</v>
      </c>
      <c r="AP90" s="15">
        <v>3.0</v>
      </c>
      <c r="AQ90" s="15">
        <v>4.0</v>
      </c>
      <c r="AR90" s="15">
        <v>4.0</v>
      </c>
      <c r="AS90" s="15">
        <v>4.0</v>
      </c>
      <c r="AT90" s="19">
        <f t="shared" si="6"/>
        <v>22</v>
      </c>
      <c r="AU90" s="15">
        <v>5.0</v>
      </c>
      <c r="AV90" s="15">
        <v>4.0</v>
      </c>
      <c r="AW90" s="15">
        <v>4.0</v>
      </c>
      <c r="AX90" s="15">
        <v>4.0</v>
      </c>
      <c r="AY90" s="15">
        <v>4.0</v>
      </c>
      <c r="AZ90" s="15">
        <v>5.0</v>
      </c>
      <c r="BA90" s="20">
        <f t="shared" si="7"/>
        <v>26</v>
      </c>
      <c r="BB90" s="15">
        <v>4.0</v>
      </c>
      <c r="BC90" s="15">
        <v>5.0</v>
      </c>
      <c r="BD90" s="15">
        <v>4.0</v>
      </c>
      <c r="BE90" s="15">
        <v>4.0</v>
      </c>
      <c r="BF90" s="15">
        <v>4.0</v>
      </c>
      <c r="BG90" s="15">
        <v>3.0</v>
      </c>
      <c r="BH90" s="21">
        <f t="shared" si="8"/>
        <v>24</v>
      </c>
      <c r="BI90" s="15">
        <v>3.0</v>
      </c>
      <c r="BJ90" s="15">
        <v>5.0</v>
      </c>
      <c r="BK90" s="15">
        <v>4.0</v>
      </c>
      <c r="BL90" s="15">
        <v>4.0</v>
      </c>
      <c r="BM90" s="15">
        <v>4.0</v>
      </c>
      <c r="BN90" s="15">
        <v>5.0</v>
      </c>
      <c r="BO90" s="21">
        <f t="shared" si="9"/>
        <v>25</v>
      </c>
      <c r="BP90" s="22">
        <v>5.0</v>
      </c>
      <c r="BQ90" s="15">
        <v>4.0</v>
      </c>
      <c r="BR90" s="15">
        <v>4.0</v>
      </c>
      <c r="BS90" s="15">
        <v>5.0</v>
      </c>
      <c r="BT90" s="15">
        <v>4.0</v>
      </c>
      <c r="BU90" s="15">
        <v>4.0</v>
      </c>
      <c r="BV90" s="15">
        <v>4.0</v>
      </c>
      <c r="BW90" s="15">
        <v>4.0</v>
      </c>
      <c r="BX90" s="15">
        <v>4.0</v>
      </c>
      <c r="BY90" s="15">
        <v>5.0</v>
      </c>
      <c r="BZ90" s="15">
        <v>4.0</v>
      </c>
      <c r="CA90" s="15">
        <v>4.0</v>
      </c>
      <c r="CB90" s="23">
        <f t="shared" si="10"/>
        <v>51</v>
      </c>
      <c r="CC90" s="24">
        <v>25.0</v>
      </c>
      <c r="CD90" s="18">
        <v>23.0</v>
      </c>
      <c r="CE90" s="18">
        <v>24.0</v>
      </c>
      <c r="CF90" s="19">
        <v>20.0</v>
      </c>
      <c r="CG90" s="19">
        <v>22.0</v>
      </c>
      <c r="CH90" s="20">
        <v>26.0</v>
      </c>
      <c r="CI90" s="25">
        <v>24.0</v>
      </c>
      <c r="CJ90" s="25">
        <v>25.0</v>
      </c>
      <c r="CK90" s="26" t="str">
        <f t="shared" si="11"/>
        <v>Naturalistic Intelligence
</v>
      </c>
      <c r="CL90" s="26"/>
    </row>
    <row r="91" ht="22.5" customHeight="1">
      <c r="A91" s="14">
        <v>46038.859887569444</v>
      </c>
      <c r="B91" s="15" t="s">
        <v>89</v>
      </c>
      <c r="C91" s="15" t="s">
        <v>90</v>
      </c>
      <c r="D91" s="15" t="s">
        <v>91</v>
      </c>
      <c r="E91" s="15" t="s">
        <v>108</v>
      </c>
      <c r="F91" s="16" t="s">
        <v>130</v>
      </c>
      <c r="G91" s="15">
        <v>2.0</v>
      </c>
      <c r="H91" s="15">
        <v>4.0</v>
      </c>
      <c r="I91" s="15">
        <v>1.0</v>
      </c>
      <c r="J91" s="15">
        <v>2.0</v>
      </c>
      <c r="K91" s="17">
        <f t="shared" si="1"/>
        <v>9</v>
      </c>
      <c r="L91" s="15">
        <v>3.0</v>
      </c>
      <c r="M91" s="15">
        <v>4.0</v>
      </c>
      <c r="N91" s="15">
        <v>4.0</v>
      </c>
      <c r="O91" s="15">
        <v>4.0</v>
      </c>
      <c r="P91" s="15">
        <v>4.0</v>
      </c>
      <c r="Q91" s="15">
        <v>4.0</v>
      </c>
      <c r="R91" s="18">
        <f t="shared" si="2"/>
        <v>23</v>
      </c>
      <c r="S91" s="15">
        <v>4.0</v>
      </c>
      <c r="T91" s="15">
        <v>3.0</v>
      </c>
      <c r="U91" s="15">
        <v>3.0</v>
      </c>
      <c r="V91" s="15">
        <v>3.0</v>
      </c>
      <c r="W91" s="15">
        <v>5.0</v>
      </c>
      <c r="X91" s="15">
        <v>4.0</v>
      </c>
      <c r="Y91" s="18">
        <f t="shared" si="3"/>
        <v>22</v>
      </c>
      <c r="Z91" s="15">
        <v>3.0</v>
      </c>
      <c r="AA91" s="15">
        <v>4.0</v>
      </c>
      <c r="AB91" s="15">
        <v>4.0</v>
      </c>
      <c r="AC91" s="15">
        <v>3.0</v>
      </c>
      <c r="AD91" s="15">
        <v>2.0</v>
      </c>
      <c r="AE91" s="15">
        <v>4.0</v>
      </c>
      <c r="AF91" s="18">
        <f t="shared" si="4"/>
        <v>20</v>
      </c>
      <c r="AG91" s="15">
        <v>2.0</v>
      </c>
      <c r="AH91" s="15">
        <v>2.0</v>
      </c>
      <c r="AI91" s="15">
        <v>3.0</v>
      </c>
      <c r="AJ91" s="15">
        <v>2.0</v>
      </c>
      <c r="AK91" s="15">
        <v>3.0</v>
      </c>
      <c r="AL91" s="15">
        <v>2.0</v>
      </c>
      <c r="AM91" s="19">
        <f t="shared" si="5"/>
        <v>14</v>
      </c>
      <c r="AN91" s="15">
        <v>3.0</v>
      </c>
      <c r="AO91" s="15">
        <v>3.0</v>
      </c>
      <c r="AP91" s="15">
        <v>2.0</v>
      </c>
      <c r="AQ91" s="15">
        <v>4.0</v>
      </c>
      <c r="AR91" s="15">
        <v>3.0</v>
      </c>
      <c r="AS91" s="15">
        <v>3.0</v>
      </c>
      <c r="AT91" s="19">
        <f t="shared" si="6"/>
        <v>18</v>
      </c>
      <c r="AU91" s="15">
        <v>2.0</v>
      </c>
      <c r="AV91" s="15">
        <v>2.0</v>
      </c>
      <c r="AW91" s="15">
        <v>2.0</v>
      </c>
      <c r="AX91" s="15">
        <v>3.0</v>
      </c>
      <c r="AY91" s="15">
        <v>3.0</v>
      </c>
      <c r="AZ91" s="15">
        <v>2.0</v>
      </c>
      <c r="BA91" s="20">
        <f t="shared" si="7"/>
        <v>14</v>
      </c>
      <c r="BB91" s="15">
        <v>4.0</v>
      </c>
      <c r="BC91" s="15">
        <v>3.0</v>
      </c>
      <c r="BD91" s="15">
        <v>3.0</v>
      </c>
      <c r="BE91" s="15">
        <v>3.0</v>
      </c>
      <c r="BF91" s="15">
        <v>2.0</v>
      </c>
      <c r="BG91" s="15">
        <v>1.0</v>
      </c>
      <c r="BH91" s="21">
        <f t="shared" si="8"/>
        <v>16</v>
      </c>
      <c r="BI91" s="15">
        <v>3.0</v>
      </c>
      <c r="BJ91" s="15">
        <v>4.0</v>
      </c>
      <c r="BK91" s="15">
        <v>3.0</v>
      </c>
      <c r="BL91" s="15">
        <v>4.0</v>
      </c>
      <c r="BM91" s="15">
        <v>3.0</v>
      </c>
      <c r="BN91" s="15">
        <v>3.0</v>
      </c>
      <c r="BO91" s="21">
        <f t="shared" si="9"/>
        <v>20</v>
      </c>
      <c r="BP91" s="22">
        <v>3.0</v>
      </c>
      <c r="BQ91" s="15">
        <v>3.0</v>
      </c>
      <c r="BR91" s="15">
        <v>3.0</v>
      </c>
      <c r="BS91" s="15">
        <v>4.0</v>
      </c>
      <c r="BT91" s="15">
        <v>3.0</v>
      </c>
      <c r="BU91" s="15">
        <v>3.0</v>
      </c>
      <c r="BV91" s="15">
        <v>4.0</v>
      </c>
      <c r="BW91" s="15">
        <v>3.0</v>
      </c>
      <c r="BX91" s="15">
        <v>4.0</v>
      </c>
      <c r="BY91" s="15">
        <v>3.0</v>
      </c>
      <c r="BZ91" s="15">
        <v>4.0</v>
      </c>
      <c r="CA91" s="15">
        <v>3.0</v>
      </c>
      <c r="CB91" s="23">
        <f t="shared" si="10"/>
        <v>40</v>
      </c>
      <c r="CC91" s="24">
        <v>23.0</v>
      </c>
      <c r="CD91" s="18">
        <v>22.0</v>
      </c>
      <c r="CE91" s="18">
        <v>20.0</v>
      </c>
      <c r="CF91" s="19">
        <v>14.0</v>
      </c>
      <c r="CG91" s="19">
        <v>18.0</v>
      </c>
      <c r="CH91" s="20">
        <v>14.0</v>
      </c>
      <c r="CI91" s="25">
        <v>16.0</v>
      </c>
      <c r="CJ91" s="25">
        <v>20.0</v>
      </c>
      <c r="CK91" s="26" t="str">
        <f t="shared" si="11"/>
        <v>Intrapersonal Intelligence</v>
      </c>
      <c r="CL91" s="26"/>
    </row>
    <row r="92" ht="22.5" customHeight="1">
      <c r="A92" s="14">
        <v>46038.86262314815</v>
      </c>
      <c r="B92" s="15" t="s">
        <v>96</v>
      </c>
      <c r="C92" s="15" t="s">
        <v>90</v>
      </c>
      <c r="D92" s="15" t="s">
        <v>91</v>
      </c>
      <c r="E92" s="15" t="s">
        <v>108</v>
      </c>
      <c r="F92" s="16" t="s">
        <v>131</v>
      </c>
      <c r="G92" s="15">
        <v>4.0</v>
      </c>
      <c r="H92" s="15">
        <v>5.0</v>
      </c>
      <c r="I92" s="15">
        <v>4.0</v>
      </c>
      <c r="J92" s="15">
        <v>5.0</v>
      </c>
      <c r="K92" s="17">
        <f t="shared" si="1"/>
        <v>18</v>
      </c>
      <c r="L92" s="15">
        <v>5.0</v>
      </c>
      <c r="M92" s="15">
        <v>3.0</v>
      </c>
      <c r="N92" s="15">
        <v>4.0</v>
      </c>
      <c r="O92" s="15">
        <v>5.0</v>
      </c>
      <c r="P92" s="15">
        <v>5.0</v>
      </c>
      <c r="Q92" s="15">
        <v>5.0</v>
      </c>
      <c r="R92" s="18">
        <f t="shared" si="2"/>
        <v>27</v>
      </c>
      <c r="S92" s="15">
        <v>3.0</v>
      </c>
      <c r="T92" s="15">
        <v>4.0</v>
      </c>
      <c r="U92" s="15">
        <v>1.0</v>
      </c>
      <c r="V92" s="15">
        <v>2.0</v>
      </c>
      <c r="W92" s="15">
        <v>3.0</v>
      </c>
      <c r="X92" s="15">
        <v>3.0</v>
      </c>
      <c r="Y92" s="18">
        <f t="shared" si="3"/>
        <v>16</v>
      </c>
      <c r="Z92" s="15">
        <v>5.0</v>
      </c>
      <c r="AA92" s="15">
        <v>5.0</v>
      </c>
      <c r="AB92" s="15">
        <v>4.0</v>
      </c>
      <c r="AC92" s="15">
        <v>5.0</v>
      </c>
      <c r="AD92" s="15">
        <v>4.0</v>
      </c>
      <c r="AE92" s="15">
        <v>4.0</v>
      </c>
      <c r="AF92" s="18">
        <f t="shared" si="4"/>
        <v>27</v>
      </c>
      <c r="AG92" s="15">
        <v>5.0</v>
      </c>
      <c r="AH92" s="15">
        <v>5.0</v>
      </c>
      <c r="AI92" s="15">
        <v>5.0</v>
      </c>
      <c r="AJ92" s="15">
        <v>5.0</v>
      </c>
      <c r="AK92" s="15">
        <v>5.0</v>
      </c>
      <c r="AL92" s="15">
        <v>5.0</v>
      </c>
      <c r="AM92" s="19">
        <f t="shared" si="5"/>
        <v>30</v>
      </c>
      <c r="AN92" s="15">
        <v>5.0</v>
      </c>
      <c r="AO92" s="15">
        <v>3.0</v>
      </c>
      <c r="AP92" s="15">
        <v>3.0</v>
      </c>
      <c r="AQ92" s="15">
        <v>3.0</v>
      </c>
      <c r="AR92" s="15">
        <v>4.0</v>
      </c>
      <c r="AS92" s="15">
        <v>3.0</v>
      </c>
      <c r="AT92" s="19">
        <f t="shared" si="6"/>
        <v>21</v>
      </c>
      <c r="AU92" s="15">
        <v>4.0</v>
      </c>
      <c r="AV92" s="15">
        <v>5.0</v>
      </c>
      <c r="AW92" s="15">
        <v>4.0</v>
      </c>
      <c r="AX92" s="15">
        <v>5.0</v>
      </c>
      <c r="AY92" s="15">
        <v>5.0</v>
      </c>
      <c r="AZ92" s="15">
        <v>4.0</v>
      </c>
      <c r="BA92" s="20">
        <f t="shared" si="7"/>
        <v>27</v>
      </c>
      <c r="BB92" s="15">
        <v>4.0</v>
      </c>
      <c r="BC92" s="15">
        <v>4.0</v>
      </c>
      <c r="BD92" s="15">
        <v>4.0</v>
      </c>
      <c r="BE92" s="15">
        <v>5.0</v>
      </c>
      <c r="BF92" s="15">
        <v>3.0</v>
      </c>
      <c r="BG92" s="15">
        <v>4.0</v>
      </c>
      <c r="BH92" s="21">
        <f t="shared" si="8"/>
        <v>24</v>
      </c>
      <c r="BI92" s="15">
        <v>3.0</v>
      </c>
      <c r="BJ92" s="15">
        <v>5.0</v>
      </c>
      <c r="BK92" s="15">
        <v>5.0</v>
      </c>
      <c r="BL92" s="15">
        <v>4.0</v>
      </c>
      <c r="BM92" s="15">
        <v>4.0</v>
      </c>
      <c r="BN92" s="15">
        <v>2.0</v>
      </c>
      <c r="BO92" s="21">
        <f t="shared" si="9"/>
        <v>23</v>
      </c>
      <c r="BP92" s="22">
        <v>4.0</v>
      </c>
      <c r="BQ92" s="15">
        <v>5.0</v>
      </c>
      <c r="BR92" s="15">
        <v>4.0</v>
      </c>
      <c r="BS92" s="15">
        <v>4.0</v>
      </c>
      <c r="BT92" s="15">
        <v>3.0</v>
      </c>
      <c r="BU92" s="15">
        <v>3.0</v>
      </c>
      <c r="BV92" s="15">
        <v>4.0</v>
      </c>
      <c r="BW92" s="15">
        <v>4.0</v>
      </c>
      <c r="BX92" s="15">
        <v>4.0</v>
      </c>
      <c r="BY92" s="15">
        <v>4.0</v>
      </c>
      <c r="BZ92" s="15">
        <v>5.0</v>
      </c>
      <c r="CA92" s="15">
        <v>4.0</v>
      </c>
      <c r="CB92" s="23">
        <f t="shared" si="10"/>
        <v>48</v>
      </c>
      <c r="CC92" s="24">
        <v>27.0</v>
      </c>
      <c r="CD92" s="18">
        <v>16.0</v>
      </c>
      <c r="CE92" s="18">
        <v>27.0</v>
      </c>
      <c r="CF92" s="19">
        <v>30.0</v>
      </c>
      <c r="CG92" s="19">
        <v>21.0</v>
      </c>
      <c r="CH92" s="20">
        <v>27.0</v>
      </c>
      <c r="CI92" s="25">
        <v>24.0</v>
      </c>
      <c r="CJ92" s="25">
        <v>23.0</v>
      </c>
      <c r="CK92" s="26" t="str">
        <f t="shared" si="11"/>
        <v>Bodily–Kinesthetic Intelligence</v>
      </c>
      <c r="CL92" s="26"/>
    </row>
    <row r="93" ht="22.5" customHeight="1">
      <c r="A93" s="14">
        <v>46038.9462102199</v>
      </c>
      <c r="B93" s="15" t="s">
        <v>89</v>
      </c>
      <c r="C93" s="15" t="s">
        <v>90</v>
      </c>
      <c r="D93" s="15" t="s">
        <v>91</v>
      </c>
      <c r="E93" s="15" t="s">
        <v>108</v>
      </c>
      <c r="F93" s="16" t="s">
        <v>132</v>
      </c>
      <c r="G93" s="15">
        <v>3.0</v>
      </c>
      <c r="H93" s="15">
        <v>4.0</v>
      </c>
      <c r="I93" s="15">
        <v>3.0</v>
      </c>
      <c r="J93" s="15">
        <v>3.0</v>
      </c>
      <c r="K93" s="17">
        <f t="shared" si="1"/>
        <v>13</v>
      </c>
      <c r="L93" s="15">
        <v>5.0</v>
      </c>
      <c r="M93" s="15">
        <v>3.0</v>
      </c>
      <c r="N93" s="15">
        <v>4.0</v>
      </c>
      <c r="O93" s="15">
        <v>3.0</v>
      </c>
      <c r="P93" s="15">
        <v>3.0</v>
      </c>
      <c r="Q93" s="15">
        <v>4.0</v>
      </c>
      <c r="R93" s="18">
        <f t="shared" si="2"/>
        <v>22</v>
      </c>
      <c r="S93" s="15">
        <v>3.0</v>
      </c>
      <c r="T93" s="15">
        <v>4.0</v>
      </c>
      <c r="U93" s="15">
        <v>2.0</v>
      </c>
      <c r="V93" s="15">
        <v>4.0</v>
      </c>
      <c r="W93" s="15">
        <v>3.0</v>
      </c>
      <c r="X93" s="15">
        <v>3.0</v>
      </c>
      <c r="Y93" s="18">
        <f t="shared" si="3"/>
        <v>19</v>
      </c>
      <c r="Z93" s="15">
        <v>4.0</v>
      </c>
      <c r="AA93" s="15">
        <v>5.0</v>
      </c>
      <c r="AB93" s="15">
        <v>3.0</v>
      </c>
      <c r="AC93" s="15">
        <v>4.0</v>
      </c>
      <c r="AD93" s="15">
        <v>4.0</v>
      </c>
      <c r="AE93" s="15">
        <v>3.0</v>
      </c>
      <c r="AF93" s="18">
        <f t="shared" si="4"/>
        <v>23</v>
      </c>
      <c r="AG93" s="15">
        <v>3.0</v>
      </c>
      <c r="AH93" s="15">
        <v>3.0</v>
      </c>
      <c r="AI93" s="15">
        <v>4.0</v>
      </c>
      <c r="AJ93" s="15">
        <v>3.0</v>
      </c>
      <c r="AK93" s="15">
        <v>4.0</v>
      </c>
      <c r="AL93" s="15">
        <v>4.0</v>
      </c>
      <c r="AM93" s="19">
        <f t="shared" si="5"/>
        <v>21</v>
      </c>
      <c r="AN93" s="15">
        <v>2.0</v>
      </c>
      <c r="AO93" s="15">
        <v>3.0</v>
      </c>
      <c r="AP93" s="15">
        <v>3.0</v>
      </c>
      <c r="AQ93" s="15">
        <v>3.0</v>
      </c>
      <c r="AR93" s="15">
        <v>3.0</v>
      </c>
      <c r="AS93" s="15">
        <v>4.0</v>
      </c>
      <c r="AT93" s="19">
        <f t="shared" si="6"/>
        <v>18</v>
      </c>
      <c r="AU93" s="15">
        <v>3.0</v>
      </c>
      <c r="AV93" s="15">
        <v>3.0</v>
      </c>
      <c r="AW93" s="15">
        <v>3.0</v>
      </c>
      <c r="AX93" s="15">
        <v>4.0</v>
      </c>
      <c r="AY93" s="15">
        <v>3.0</v>
      </c>
      <c r="AZ93" s="15">
        <v>3.0</v>
      </c>
      <c r="BA93" s="20">
        <f t="shared" si="7"/>
        <v>19</v>
      </c>
      <c r="BB93" s="15">
        <v>3.0</v>
      </c>
      <c r="BC93" s="15">
        <v>3.0</v>
      </c>
      <c r="BD93" s="15">
        <v>4.0</v>
      </c>
      <c r="BE93" s="15">
        <v>3.0</v>
      </c>
      <c r="BF93" s="15">
        <v>3.0</v>
      </c>
      <c r="BG93" s="15">
        <v>4.0</v>
      </c>
      <c r="BH93" s="21">
        <f t="shared" si="8"/>
        <v>20</v>
      </c>
      <c r="BI93" s="15">
        <v>3.0</v>
      </c>
      <c r="BJ93" s="15">
        <v>5.0</v>
      </c>
      <c r="BK93" s="15">
        <v>3.0</v>
      </c>
      <c r="BL93" s="15">
        <v>4.0</v>
      </c>
      <c r="BM93" s="15">
        <v>3.0</v>
      </c>
      <c r="BN93" s="15">
        <v>4.0</v>
      </c>
      <c r="BO93" s="21">
        <f t="shared" si="9"/>
        <v>22</v>
      </c>
      <c r="BP93" s="22">
        <v>3.0</v>
      </c>
      <c r="BQ93" s="15">
        <v>3.0</v>
      </c>
      <c r="BR93" s="15">
        <v>3.0</v>
      </c>
      <c r="BS93" s="15">
        <v>3.0</v>
      </c>
      <c r="BT93" s="15">
        <v>3.0</v>
      </c>
      <c r="BU93" s="15">
        <v>3.0</v>
      </c>
      <c r="BV93" s="15">
        <v>3.0</v>
      </c>
      <c r="BW93" s="15">
        <v>3.0</v>
      </c>
      <c r="BX93" s="15">
        <v>3.0</v>
      </c>
      <c r="BY93" s="15">
        <v>4.0</v>
      </c>
      <c r="BZ93" s="15">
        <v>3.0</v>
      </c>
      <c r="CA93" s="15">
        <v>3.0</v>
      </c>
      <c r="CB93" s="23">
        <f t="shared" si="10"/>
        <v>37</v>
      </c>
      <c r="CC93" s="24">
        <v>22.0</v>
      </c>
      <c r="CD93" s="18">
        <v>19.0</v>
      </c>
      <c r="CE93" s="18">
        <v>23.0</v>
      </c>
      <c r="CF93" s="19">
        <v>21.0</v>
      </c>
      <c r="CG93" s="19">
        <v>18.0</v>
      </c>
      <c r="CH93" s="20">
        <v>19.0</v>
      </c>
      <c r="CI93" s="25">
        <v>20.0</v>
      </c>
      <c r="CJ93" s="25">
        <v>22.0</v>
      </c>
      <c r="CK93" s="26" t="str">
        <f t="shared" si="11"/>
        <v>Logical–Mathematical Intelligence</v>
      </c>
      <c r="CL93" s="26"/>
    </row>
    <row r="94" ht="22.5" customHeight="1">
      <c r="A94" s="14">
        <v>46039.77247131945</v>
      </c>
      <c r="B94" s="15" t="s">
        <v>89</v>
      </c>
      <c r="C94" s="15" t="s">
        <v>90</v>
      </c>
      <c r="D94" s="15" t="s">
        <v>91</v>
      </c>
      <c r="E94" s="15" t="s">
        <v>108</v>
      </c>
      <c r="F94" s="27"/>
      <c r="G94" s="15">
        <v>4.0</v>
      </c>
      <c r="H94" s="15">
        <v>4.0</v>
      </c>
      <c r="I94" s="15">
        <v>4.0</v>
      </c>
      <c r="J94" s="15">
        <v>5.0</v>
      </c>
      <c r="K94" s="17">
        <f t="shared" si="1"/>
        <v>17</v>
      </c>
      <c r="L94" s="15">
        <v>3.0</v>
      </c>
      <c r="M94" s="15">
        <v>3.0</v>
      </c>
      <c r="N94" s="15">
        <v>3.0</v>
      </c>
      <c r="O94" s="15">
        <v>3.0</v>
      </c>
      <c r="P94" s="15">
        <v>3.0</v>
      </c>
      <c r="Q94" s="15">
        <v>3.0</v>
      </c>
      <c r="R94" s="18">
        <f t="shared" si="2"/>
        <v>18</v>
      </c>
      <c r="S94" s="15">
        <v>3.0</v>
      </c>
      <c r="T94" s="15">
        <v>3.0</v>
      </c>
      <c r="U94" s="15">
        <v>4.0</v>
      </c>
      <c r="V94" s="15">
        <v>3.0</v>
      </c>
      <c r="W94" s="15">
        <v>3.0</v>
      </c>
      <c r="X94" s="15">
        <v>5.0</v>
      </c>
      <c r="Y94" s="18">
        <f t="shared" si="3"/>
        <v>21</v>
      </c>
      <c r="Z94" s="15">
        <v>4.0</v>
      </c>
      <c r="AA94" s="15">
        <v>3.0</v>
      </c>
      <c r="AB94" s="15">
        <v>5.0</v>
      </c>
      <c r="AC94" s="15">
        <v>4.0</v>
      </c>
      <c r="AD94" s="15">
        <v>4.0</v>
      </c>
      <c r="AE94" s="15">
        <v>4.0</v>
      </c>
      <c r="AF94" s="18">
        <f t="shared" si="4"/>
        <v>24</v>
      </c>
      <c r="AG94" s="15">
        <v>5.0</v>
      </c>
      <c r="AH94" s="15">
        <v>4.0</v>
      </c>
      <c r="AI94" s="15">
        <v>4.0</v>
      </c>
      <c r="AJ94" s="15">
        <v>4.0</v>
      </c>
      <c r="AK94" s="15">
        <v>4.0</v>
      </c>
      <c r="AL94" s="15">
        <v>4.0</v>
      </c>
      <c r="AM94" s="19">
        <f t="shared" si="5"/>
        <v>25</v>
      </c>
      <c r="AN94" s="15">
        <v>3.0</v>
      </c>
      <c r="AO94" s="15">
        <v>3.0</v>
      </c>
      <c r="AP94" s="15">
        <v>3.0</v>
      </c>
      <c r="AQ94" s="15">
        <v>3.0</v>
      </c>
      <c r="AR94" s="15">
        <v>3.0</v>
      </c>
      <c r="AS94" s="15">
        <v>3.0</v>
      </c>
      <c r="AT94" s="19">
        <f t="shared" si="6"/>
        <v>18</v>
      </c>
      <c r="AU94" s="15">
        <v>4.0</v>
      </c>
      <c r="AV94" s="15">
        <v>3.0</v>
      </c>
      <c r="AW94" s="15">
        <v>3.0</v>
      </c>
      <c r="AX94" s="15">
        <v>4.0</v>
      </c>
      <c r="AY94" s="15">
        <v>4.0</v>
      </c>
      <c r="AZ94" s="15">
        <v>3.0</v>
      </c>
      <c r="BA94" s="20">
        <f t="shared" si="7"/>
        <v>21</v>
      </c>
      <c r="BB94" s="15">
        <v>4.0</v>
      </c>
      <c r="BC94" s="15">
        <v>5.0</v>
      </c>
      <c r="BD94" s="15">
        <v>5.0</v>
      </c>
      <c r="BE94" s="15">
        <v>5.0</v>
      </c>
      <c r="BF94" s="15">
        <v>4.0</v>
      </c>
      <c r="BG94" s="15">
        <v>5.0</v>
      </c>
      <c r="BH94" s="21">
        <f t="shared" si="8"/>
        <v>28</v>
      </c>
      <c r="BI94" s="15">
        <v>4.0</v>
      </c>
      <c r="BJ94" s="15">
        <v>3.0</v>
      </c>
      <c r="BK94" s="15">
        <v>4.0</v>
      </c>
      <c r="BL94" s="15">
        <v>4.0</v>
      </c>
      <c r="BM94" s="15">
        <v>3.0</v>
      </c>
      <c r="BN94" s="15">
        <v>4.0</v>
      </c>
      <c r="BO94" s="21">
        <f t="shared" si="9"/>
        <v>22</v>
      </c>
      <c r="BP94" s="22">
        <v>5.0</v>
      </c>
      <c r="BQ94" s="15">
        <v>3.0</v>
      </c>
      <c r="BR94" s="15">
        <v>5.0</v>
      </c>
      <c r="BS94" s="15">
        <v>4.0</v>
      </c>
      <c r="BT94" s="15">
        <v>5.0</v>
      </c>
      <c r="BU94" s="15">
        <v>4.0</v>
      </c>
      <c r="BV94" s="15">
        <v>5.0</v>
      </c>
      <c r="BW94" s="15">
        <v>5.0</v>
      </c>
      <c r="BX94" s="15">
        <v>5.0</v>
      </c>
      <c r="BY94" s="15">
        <v>5.0</v>
      </c>
      <c r="BZ94" s="15">
        <v>4.0</v>
      </c>
      <c r="CA94" s="15">
        <v>5.0</v>
      </c>
      <c r="CB94" s="23">
        <f t="shared" si="10"/>
        <v>55</v>
      </c>
      <c r="CC94" s="24">
        <v>18.0</v>
      </c>
      <c r="CD94" s="18">
        <v>21.0</v>
      </c>
      <c r="CE94" s="18">
        <v>24.0</v>
      </c>
      <c r="CF94" s="19">
        <v>25.0</v>
      </c>
      <c r="CG94" s="19">
        <v>18.0</v>
      </c>
      <c r="CH94" s="20">
        <v>21.0</v>
      </c>
      <c r="CI94" s="25">
        <v>28.0</v>
      </c>
      <c r="CJ94" s="25">
        <v>22.0</v>
      </c>
      <c r="CK94" s="26" t="str">
        <f t="shared" si="11"/>
        <v>Visual–Spatial Intelligence
</v>
      </c>
      <c r="CL94" s="26"/>
    </row>
    <row r="95" ht="22.5" customHeight="1">
      <c r="A95" s="14">
        <v>46039.9631871412</v>
      </c>
      <c r="B95" s="15" t="s">
        <v>96</v>
      </c>
      <c r="C95" s="15" t="s">
        <v>90</v>
      </c>
      <c r="D95" s="15" t="s">
        <v>91</v>
      </c>
      <c r="E95" s="15" t="s">
        <v>108</v>
      </c>
      <c r="F95" s="27"/>
      <c r="G95" s="15">
        <v>3.0</v>
      </c>
      <c r="H95" s="15">
        <v>5.0</v>
      </c>
      <c r="I95" s="15">
        <v>4.0</v>
      </c>
      <c r="J95" s="15">
        <v>2.0</v>
      </c>
      <c r="K95" s="17">
        <f t="shared" si="1"/>
        <v>14</v>
      </c>
      <c r="L95" s="15">
        <v>5.0</v>
      </c>
      <c r="M95" s="15">
        <v>4.0</v>
      </c>
      <c r="N95" s="15">
        <v>4.0</v>
      </c>
      <c r="O95" s="15">
        <v>4.0</v>
      </c>
      <c r="P95" s="15">
        <v>5.0</v>
      </c>
      <c r="Q95" s="15">
        <v>5.0</v>
      </c>
      <c r="R95" s="18">
        <f t="shared" si="2"/>
        <v>27</v>
      </c>
      <c r="S95" s="15">
        <v>3.0</v>
      </c>
      <c r="T95" s="15">
        <v>2.0</v>
      </c>
      <c r="U95" s="15">
        <v>2.0</v>
      </c>
      <c r="V95" s="15">
        <v>1.0</v>
      </c>
      <c r="W95" s="15">
        <v>2.0</v>
      </c>
      <c r="X95" s="15">
        <v>3.0</v>
      </c>
      <c r="Y95" s="18">
        <f t="shared" si="3"/>
        <v>13</v>
      </c>
      <c r="Z95" s="15">
        <v>5.0</v>
      </c>
      <c r="AA95" s="15">
        <v>5.0</v>
      </c>
      <c r="AB95" s="15">
        <v>5.0</v>
      </c>
      <c r="AC95" s="15">
        <v>5.0</v>
      </c>
      <c r="AD95" s="15">
        <v>5.0</v>
      </c>
      <c r="AE95" s="15">
        <v>5.0</v>
      </c>
      <c r="AF95" s="18">
        <f t="shared" si="4"/>
        <v>30</v>
      </c>
      <c r="AG95" s="15">
        <v>2.0</v>
      </c>
      <c r="AH95" s="15">
        <v>2.0</v>
      </c>
      <c r="AI95" s="15">
        <v>2.0</v>
      </c>
      <c r="AJ95" s="15">
        <v>2.0</v>
      </c>
      <c r="AK95" s="15">
        <v>2.0</v>
      </c>
      <c r="AL95" s="15">
        <v>2.0</v>
      </c>
      <c r="AM95" s="19">
        <f t="shared" si="5"/>
        <v>12</v>
      </c>
      <c r="AN95" s="15">
        <v>4.0</v>
      </c>
      <c r="AO95" s="15">
        <v>4.0</v>
      </c>
      <c r="AP95" s="15">
        <v>3.0</v>
      </c>
      <c r="AQ95" s="15">
        <v>5.0</v>
      </c>
      <c r="AR95" s="15">
        <v>1.0</v>
      </c>
      <c r="AS95" s="15">
        <v>2.0</v>
      </c>
      <c r="AT95" s="19">
        <f t="shared" si="6"/>
        <v>19</v>
      </c>
      <c r="AU95" s="15">
        <v>1.0</v>
      </c>
      <c r="AV95" s="15">
        <v>1.0</v>
      </c>
      <c r="AW95" s="15">
        <v>1.0</v>
      </c>
      <c r="AX95" s="15">
        <v>1.0</v>
      </c>
      <c r="AY95" s="15">
        <v>1.0</v>
      </c>
      <c r="AZ95" s="15">
        <v>1.0</v>
      </c>
      <c r="BA95" s="20">
        <f t="shared" si="7"/>
        <v>6</v>
      </c>
      <c r="BB95" s="15">
        <v>2.0</v>
      </c>
      <c r="BC95" s="15">
        <v>3.0</v>
      </c>
      <c r="BD95" s="15">
        <v>2.0</v>
      </c>
      <c r="BE95" s="15">
        <v>2.0</v>
      </c>
      <c r="BF95" s="15">
        <v>4.0</v>
      </c>
      <c r="BG95" s="15">
        <v>2.0</v>
      </c>
      <c r="BH95" s="21">
        <f t="shared" si="8"/>
        <v>15</v>
      </c>
      <c r="BI95" s="15">
        <v>2.0</v>
      </c>
      <c r="BJ95" s="15">
        <v>5.0</v>
      </c>
      <c r="BK95" s="15">
        <v>3.0</v>
      </c>
      <c r="BL95" s="15">
        <v>5.0</v>
      </c>
      <c r="BM95" s="15">
        <v>5.0</v>
      </c>
      <c r="BN95" s="15">
        <v>5.0</v>
      </c>
      <c r="BO95" s="21">
        <f t="shared" si="9"/>
        <v>25</v>
      </c>
      <c r="BP95" s="22">
        <v>3.0</v>
      </c>
      <c r="BQ95" s="15">
        <v>3.0</v>
      </c>
      <c r="BR95" s="15">
        <v>3.0</v>
      </c>
      <c r="BS95" s="15">
        <v>3.0</v>
      </c>
      <c r="BT95" s="15">
        <v>2.0</v>
      </c>
      <c r="BU95" s="15">
        <v>3.0</v>
      </c>
      <c r="BV95" s="15">
        <v>5.0</v>
      </c>
      <c r="BW95" s="15">
        <v>4.0</v>
      </c>
      <c r="BX95" s="15">
        <v>4.0</v>
      </c>
      <c r="BY95" s="15">
        <v>3.0</v>
      </c>
      <c r="BZ95" s="15">
        <v>3.0</v>
      </c>
      <c r="CA95" s="15">
        <v>4.0</v>
      </c>
      <c r="CB95" s="23">
        <f t="shared" si="10"/>
        <v>40</v>
      </c>
      <c r="CC95" s="24">
        <v>27.0</v>
      </c>
      <c r="CD95" s="18">
        <v>13.0</v>
      </c>
      <c r="CE95" s="18">
        <v>30.0</v>
      </c>
      <c r="CF95" s="19">
        <v>12.0</v>
      </c>
      <c r="CG95" s="19">
        <v>19.0</v>
      </c>
      <c r="CH95" s="20">
        <v>6.0</v>
      </c>
      <c r="CI95" s="25">
        <v>15.0</v>
      </c>
      <c r="CJ95" s="25">
        <v>25.0</v>
      </c>
      <c r="CK95" s="26" t="str">
        <f t="shared" si="11"/>
        <v>Logical–Mathematical Intelligence</v>
      </c>
      <c r="CL95" s="26"/>
    </row>
    <row r="96" ht="22.5" customHeight="1">
      <c r="A96" s="14">
        <v>46039.99815777778</v>
      </c>
      <c r="B96" s="15" t="s">
        <v>133</v>
      </c>
      <c r="C96" s="15" t="s">
        <v>90</v>
      </c>
      <c r="D96" s="15" t="s">
        <v>91</v>
      </c>
      <c r="E96" s="15" t="s">
        <v>108</v>
      </c>
      <c r="F96" s="27"/>
      <c r="G96" s="15">
        <v>4.0</v>
      </c>
      <c r="H96" s="15">
        <v>5.0</v>
      </c>
      <c r="I96" s="15">
        <v>3.0</v>
      </c>
      <c r="J96" s="15">
        <v>2.0</v>
      </c>
      <c r="K96" s="17">
        <f t="shared" si="1"/>
        <v>14</v>
      </c>
      <c r="L96" s="15">
        <v>3.0</v>
      </c>
      <c r="M96" s="15">
        <v>4.0</v>
      </c>
      <c r="N96" s="15">
        <v>3.0</v>
      </c>
      <c r="O96" s="15">
        <v>5.0</v>
      </c>
      <c r="P96" s="15">
        <v>1.0</v>
      </c>
      <c r="Q96" s="15">
        <v>5.0</v>
      </c>
      <c r="R96" s="18">
        <f t="shared" si="2"/>
        <v>21</v>
      </c>
      <c r="S96" s="15">
        <v>4.0</v>
      </c>
      <c r="T96" s="15">
        <v>2.0</v>
      </c>
      <c r="U96" s="15">
        <v>2.0</v>
      </c>
      <c r="V96" s="15">
        <v>2.0</v>
      </c>
      <c r="W96" s="15">
        <v>2.0</v>
      </c>
      <c r="X96" s="15">
        <v>5.0</v>
      </c>
      <c r="Y96" s="18">
        <f t="shared" si="3"/>
        <v>17</v>
      </c>
      <c r="Z96" s="15">
        <v>3.0</v>
      </c>
      <c r="AA96" s="15">
        <v>3.0</v>
      </c>
      <c r="AB96" s="15">
        <v>4.0</v>
      </c>
      <c r="AC96" s="15">
        <v>4.0</v>
      </c>
      <c r="AD96" s="15">
        <v>4.0</v>
      </c>
      <c r="AE96" s="15">
        <v>5.0</v>
      </c>
      <c r="AF96" s="18">
        <f t="shared" si="4"/>
        <v>23</v>
      </c>
      <c r="AG96" s="15">
        <v>3.0</v>
      </c>
      <c r="AH96" s="15">
        <v>2.0</v>
      </c>
      <c r="AI96" s="15">
        <v>2.0</v>
      </c>
      <c r="AJ96" s="15">
        <v>4.0</v>
      </c>
      <c r="AK96" s="15">
        <v>4.0</v>
      </c>
      <c r="AL96" s="15">
        <v>4.0</v>
      </c>
      <c r="AM96" s="19">
        <f t="shared" si="5"/>
        <v>19</v>
      </c>
      <c r="AN96" s="15">
        <v>5.0</v>
      </c>
      <c r="AO96" s="15">
        <v>5.0</v>
      </c>
      <c r="AP96" s="15">
        <v>5.0</v>
      </c>
      <c r="AQ96" s="15">
        <v>4.0</v>
      </c>
      <c r="AR96" s="15">
        <v>5.0</v>
      </c>
      <c r="AS96" s="15">
        <v>5.0</v>
      </c>
      <c r="AT96" s="19">
        <f t="shared" si="6"/>
        <v>29</v>
      </c>
      <c r="AU96" s="15">
        <v>3.0</v>
      </c>
      <c r="AV96" s="15">
        <v>5.0</v>
      </c>
      <c r="AW96" s="15">
        <v>5.0</v>
      </c>
      <c r="AX96" s="15">
        <v>2.0</v>
      </c>
      <c r="AY96" s="15">
        <v>4.0</v>
      </c>
      <c r="AZ96" s="15">
        <v>3.0</v>
      </c>
      <c r="BA96" s="20">
        <f t="shared" si="7"/>
        <v>22</v>
      </c>
      <c r="BB96" s="15">
        <v>3.0</v>
      </c>
      <c r="BC96" s="15">
        <v>3.0</v>
      </c>
      <c r="BD96" s="15">
        <v>5.0</v>
      </c>
      <c r="BE96" s="15">
        <v>4.0</v>
      </c>
      <c r="BF96" s="15">
        <v>3.0</v>
      </c>
      <c r="BG96" s="15">
        <v>4.0</v>
      </c>
      <c r="BH96" s="21">
        <f t="shared" si="8"/>
        <v>22</v>
      </c>
      <c r="BI96" s="15">
        <v>1.0</v>
      </c>
      <c r="BJ96" s="15">
        <v>5.0</v>
      </c>
      <c r="BK96" s="15">
        <v>3.0</v>
      </c>
      <c r="BL96" s="15">
        <v>5.0</v>
      </c>
      <c r="BM96" s="15">
        <v>5.0</v>
      </c>
      <c r="BN96" s="15">
        <v>2.0</v>
      </c>
      <c r="BO96" s="21">
        <f t="shared" si="9"/>
        <v>21</v>
      </c>
      <c r="BP96" s="22">
        <v>5.0</v>
      </c>
      <c r="BQ96" s="15">
        <v>5.0</v>
      </c>
      <c r="BR96" s="15">
        <v>4.0</v>
      </c>
      <c r="BS96" s="15">
        <v>4.0</v>
      </c>
      <c r="BT96" s="15">
        <v>5.0</v>
      </c>
      <c r="BU96" s="15">
        <v>4.0</v>
      </c>
      <c r="BV96" s="15">
        <v>5.0</v>
      </c>
      <c r="BW96" s="15">
        <v>5.0</v>
      </c>
      <c r="BX96" s="15">
        <v>5.0</v>
      </c>
      <c r="BY96" s="15">
        <v>5.0</v>
      </c>
      <c r="BZ96" s="15">
        <v>5.0</v>
      </c>
      <c r="CA96" s="15">
        <v>5.0</v>
      </c>
      <c r="CB96" s="23">
        <f t="shared" si="10"/>
        <v>57</v>
      </c>
      <c r="CC96" s="24">
        <v>21.0</v>
      </c>
      <c r="CD96" s="18">
        <v>17.0</v>
      </c>
      <c r="CE96" s="18">
        <v>23.0</v>
      </c>
      <c r="CF96" s="19">
        <v>19.0</v>
      </c>
      <c r="CG96" s="19">
        <v>29.0</v>
      </c>
      <c r="CH96" s="20">
        <v>22.0</v>
      </c>
      <c r="CI96" s="25">
        <v>22.0</v>
      </c>
      <c r="CJ96" s="25">
        <v>21.0</v>
      </c>
      <c r="CK96" s="26" t="str">
        <f t="shared" si="11"/>
        <v>Linguistic Intelligence</v>
      </c>
      <c r="CL96" s="26"/>
    </row>
    <row r="97" ht="22.5" customHeight="1">
      <c r="A97" s="14">
        <v>46040.64767791667</v>
      </c>
      <c r="B97" s="15" t="s">
        <v>89</v>
      </c>
      <c r="C97" s="15" t="s">
        <v>90</v>
      </c>
      <c r="D97" s="15" t="s">
        <v>91</v>
      </c>
      <c r="E97" s="15" t="s">
        <v>97</v>
      </c>
      <c r="F97" s="27"/>
      <c r="G97" s="15">
        <v>4.0</v>
      </c>
      <c r="H97" s="15">
        <v>4.0</v>
      </c>
      <c r="I97" s="15">
        <v>4.0</v>
      </c>
      <c r="J97" s="15">
        <v>4.0</v>
      </c>
      <c r="K97" s="17">
        <f t="shared" si="1"/>
        <v>16</v>
      </c>
      <c r="L97" s="15">
        <v>3.0</v>
      </c>
      <c r="M97" s="15">
        <v>3.0</v>
      </c>
      <c r="N97" s="15">
        <v>3.0</v>
      </c>
      <c r="O97" s="15">
        <v>3.0</v>
      </c>
      <c r="P97" s="15">
        <v>3.0</v>
      </c>
      <c r="Q97" s="15">
        <v>3.0</v>
      </c>
      <c r="R97" s="18">
        <f t="shared" si="2"/>
        <v>18</v>
      </c>
      <c r="S97" s="15">
        <v>3.0</v>
      </c>
      <c r="T97" s="15">
        <v>3.0</v>
      </c>
      <c r="U97" s="15">
        <v>3.0</v>
      </c>
      <c r="V97" s="15">
        <v>3.0</v>
      </c>
      <c r="W97" s="15">
        <v>3.0</v>
      </c>
      <c r="X97" s="15">
        <v>3.0</v>
      </c>
      <c r="Y97" s="18">
        <f t="shared" si="3"/>
        <v>18</v>
      </c>
      <c r="Z97" s="15">
        <v>3.0</v>
      </c>
      <c r="AA97" s="15">
        <v>3.0</v>
      </c>
      <c r="AB97" s="15">
        <v>3.0</v>
      </c>
      <c r="AC97" s="15">
        <v>3.0</v>
      </c>
      <c r="AD97" s="15">
        <v>3.0</v>
      </c>
      <c r="AE97" s="15">
        <v>3.0</v>
      </c>
      <c r="AF97" s="18">
        <f t="shared" si="4"/>
        <v>18</v>
      </c>
      <c r="AG97" s="15">
        <v>3.0</v>
      </c>
      <c r="AH97" s="15">
        <v>3.0</v>
      </c>
      <c r="AI97" s="15">
        <v>3.0</v>
      </c>
      <c r="AJ97" s="15">
        <v>3.0</v>
      </c>
      <c r="AK97" s="15">
        <v>3.0</v>
      </c>
      <c r="AL97" s="15">
        <v>3.0</v>
      </c>
      <c r="AM97" s="19">
        <f t="shared" si="5"/>
        <v>18</v>
      </c>
      <c r="AN97" s="15">
        <v>3.0</v>
      </c>
      <c r="AO97" s="15">
        <v>3.0</v>
      </c>
      <c r="AP97" s="15">
        <v>3.0</v>
      </c>
      <c r="AQ97" s="15">
        <v>3.0</v>
      </c>
      <c r="AR97" s="15">
        <v>3.0</v>
      </c>
      <c r="AS97" s="15">
        <v>3.0</v>
      </c>
      <c r="AT97" s="19">
        <f t="shared" si="6"/>
        <v>18</v>
      </c>
      <c r="AU97" s="15">
        <v>3.0</v>
      </c>
      <c r="AV97" s="15">
        <v>3.0</v>
      </c>
      <c r="AW97" s="15">
        <v>3.0</v>
      </c>
      <c r="AX97" s="15">
        <v>3.0</v>
      </c>
      <c r="AY97" s="15">
        <v>3.0</v>
      </c>
      <c r="AZ97" s="15">
        <v>3.0</v>
      </c>
      <c r="BA97" s="20">
        <f t="shared" si="7"/>
        <v>18</v>
      </c>
      <c r="BB97" s="15">
        <v>3.0</v>
      </c>
      <c r="BC97" s="15">
        <v>3.0</v>
      </c>
      <c r="BD97" s="15">
        <v>3.0</v>
      </c>
      <c r="BE97" s="15">
        <v>3.0</v>
      </c>
      <c r="BF97" s="15">
        <v>3.0</v>
      </c>
      <c r="BG97" s="15">
        <v>3.0</v>
      </c>
      <c r="BH97" s="21">
        <f t="shared" si="8"/>
        <v>18</v>
      </c>
      <c r="BI97" s="15">
        <v>3.0</v>
      </c>
      <c r="BJ97" s="15">
        <v>3.0</v>
      </c>
      <c r="BK97" s="15">
        <v>3.0</v>
      </c>
      <c r="BL97" s="15">
        <v>3.0</v>
      </c>
      <c r="BM97" s="15">
        <v>3.0</v>
      </c>
      <c r="BN97" s="15">
        <v>3.0</v>
      </c>
      <c r="BO97" s="21">
        <f t="shared" si="9"/>
        <v>18</v>
      </c>
      <c r="BP97" s="22">
        <v>5.0</v>
      </c>
      <c r="BQ97" s="15">
        <v>5.0</v>
      </c>
      <c r="BR97" s="15">
        <v>5.0</v>
      </c>
      <c r="BS97" s="15">
        <v>5.0</v>
      </c>
      <c r="BT97" s="15">
        <v>5.0</v>
      </c>
      <c r="BU97" s="15">
        <v>5.0</v>
      </c>
      <c r="BV97" s="15">
        <v>5.0</v>
      </c>
      <c r="BW97" s="15">
        <v>5.0</v>
      </c>
      <c r="BX97" s="15">
        <v>5.0</v>
      </c>
      <c r="BY97" s="15">
        <v>5.0</v>
      </c>
      <c r="BZ97" s="15">
        <v>5.0</v>
      </c>
      <c r="CA97" s="15">
        <v>5.0</v>
      </c>
      <c r="CB97" s="23">
        <f t="shared" si="10"/>
        <v>60</v>
      </c>
      <c r="CC97" s="24">
        <v>18.0</v>
      </c>
      <c r="CD97" s="18">
        <v>18.0</v>
      </c>
      <c r="CE97" s="18">
        <v>18.0</v>
      </c>
      <c r="CF97" s="19">
        <v>18.0</v>
      </c>
      <c r="CG97" s="19">
        <v>18.0</v>
      </c>
      <c r="CH97" s="20">
        <v>18.0</v>
      </c>
      <c r="CI97" s="25">
        <v>18.0</v>
      </c>
      <c r="CJ97" s="25">
        <v>18.0</v>
      </c>
      <c r="CK97" s="26" t="str">
        <f t="shared" si="11"/>
        <v>Intrapersonal Intelligence</v>
      </c>
      <c r="CL97" s="26"/>
    </row>
    <row r="98" ht="22.5" customHeight="1">
      <c r="A98" s="14">
        <v>46041.39230637731</v>
      </c>
      <c r="B98" s="15" t="s">
        <v>89</v>
      </c>
      <c r="C98" s="15" t="s">
        <v>90</v>
      </c>
      <c r="D98" s="15" t="s">
        <v>91</v>
      </c>
      <c r="E98" s="15" t="s">
        <v>92</v>
      </c>
      <c r="F98" s="16" t="s">
        <v>134</v>
      </c>
      <c r="G98" s="15">
        <v>3.0</v>
      </c>
      <c r="H98" s="15">
        <v>4.0</v>
      </c>
      <c r="I98" s="15">
        <v>2.0</v>
      </c>
      <c r="J98" s="15">
        <v>3.0</v>
      </c>
      <c r="K98" s="17">
        <f t="shared" si="1"/>
        <v>12</v>
      </c>
      <c r="L98" s="15">
        <v>4.0</v>
      </c>
      <c r="M98" s="15">
        <v>3.0</v>
      </c>
      <c r="N98" s="15">
        <v>2.0</v>
      </c>
      <c r="O98" s="15">
        <v>5.0</v>
      </c>
      <c r="P98" s="15">
        <v>5.0</v>
      </c>
      <c r="Q98" s="15">
        <v>5.0</v>
      </c>
      <c r="R98" s="18">
        <f t="shared" si="2"/>
        <v>24</v>
      </c>
      <c r="S98" s="15">
        <v>5.0</v>
      </c>
      <c r="T98" s="15">
        <v>3.0</v>
      </c>
      <c r="U98" s="15">
        <v>2.0</v>
      </c>
      <c r="V98" s="15">
        <v>4.0</v>
      </c>
      <c r="W98" s="15">
        <v>4.0</v>
      </c>
      <c r="X98" s="15">
        <v>5.0</v>
      </c>
      <c r="Y98" s="18">
        <f t="shared" si="3"/>
        <v>23</v>
      </c>
      <c r="Z98" s="15">
        <v>2.0</v>
      </c>
      <c r="AA98" s="15">
        <v>1.0</v>
      </c>
      <c r="AB98" s="15">
        <v>2.0</v>
      </c>
      <c r="AC98" s="15">
        <v>4.0</v>
      </c>
      <c r="AD98" s="15">
        <v>3.0</v>
      </c>
      <c r="AE98" s="15">
        <v>4.0</v>
      </c>
      <c r="AF98" s="18">
        <f t="shared" si="4"/>
        <v>16</v>
      </c>
      <c r="AG98" s="15">
        <v>5.0</v>
      </c>
      <c r="AH98" s="15">
        <v>3.0</v>
      </c>
      <c r="AI98" s="15">
        <v>5.0</v>
      </c>
      <c r="AJ98" s="15">
        <v>4.0</v>
      </c>
      <c r="AK98" s="15">
        <v>3.0</v>
      </c>
      <c r="AL98" s="15">
        <v>2.0</v>
      </c>
      <c r="AM98" s="19">
        <f t="shared" si="5"/>
        <v>22</v>
      </c>
      <c r="AN98" s="15">
        <v>3.0</v>
      </c>
      <c r="AO98" s="15">
        <v>4.0</v>
      </c>
      <c r="AP98" s="15">
        <v>2.0</v>
      </c>
      <c r="AQ98" s="15">
        <v>5.0</v>
      </c>
      <c r="AR98" s="15">
        <v>5.0</v>
      </c>
      <c r="AS98" s="15">
        <v>5.0</v>
      </c>
      <c r="AT98" s="19">
        <f t="shared" si="6"/>
        <v>24</v>
      </c>
      <c r="AU98" s="15">
        <v>5.0</v>
      </c>
      <c r="AV98" s="15">
        <v>5.0</v>
      </c>
      <c r="AW98" s="15">
        <v>3.0</v>
      </c>
      <c r="AX98" s="15">
        <v>1.0</v>
      </c>
      <c r="AY98" s="15">
        <v>2.0</v>
      </c>
      <c r="AZ98" s="15">
        <v>4.0</v>
      </c>
      <c r="BA98" s="20">
        <f t="shared" si="7"/>
        <v>20</v>
      </c>
      <c r="BB98" s="15">
        <v>2.0</v>
      </c>
      <c r="BC98" s="15">
        <v>3.0</v>
      </c>
      <c r="BD98" s="15">
        <v>3.0</v>
      </c>
      <c r="BE98" s="15">
        <v>4.0</v>
      </c>
      <c r="BF98" s="15">
        <v>3.0</v>
      </c>
      <c r="BG98" s="15">
        <v>4.0</v>
      </c>
      <c r="BH98" s="21">
        <f t="shared" si="8"/>
        <v>19</v>
      </c>
      <c r="BI98" s="15">
        <v>3.0</v>
      </c>
      <c r="BJ98" s="15">
        <v>5.0</v>
      </c>
      <c r="BK98" s="15">
        <v>4.0</v>
      </c>
      <c r="BL98" s="15">
        <v>4.0</v>
      </c>
      <c r="BM98" s="15">
        <v>3.0</v>
      </c>
      <c r="BN98" s="15">
        <v>3.0</v>
      </c>
      <c r="BO98" s="21">
        <f t="shared" si="9"/>
        <v>22</v>
      </c>
      <c r="BP98" s="22">
        <v>4.0</v>
      </c>
      <c r="BQ98" s="15">
        <v>3.0</v>
      </c>
      <c r="BR98" s="15">
        <v>5.0</v>
      </c>
      <c r="BS98" s="15">
        <v>4.0</v>
      </c>
      <c r="BT98" s="15">
        <v>4.0</v>
      </c>
      <c r="BU98" s="15">
        <v>5.0</v>
      </c>
      <c r="BV98" s="15">
        <v>5.0</v>
      </c>
      <c r="BW98" s="15">
        <v>3.0</v>
      </c>
      <c r="BX98" s="15">
        <v>5.0</v>
      </c>
      <c r="BY98" s="15">
        <v>4.0</v>
      </c>
      <c r="BZ98" s="15">
        <v>4.0</v>
      </c>
      <c r="CA98" s="15">
        <v>4.0</v>
      </c>
      <c r="CB98" s="23">
        <f t="shared" si="10"/>
        <v>50</v>
      </c>
      <c r="CC98" s="24">
        <v>24.0</v>
      </c>
      <c r="CD98" s="18">
        <v>23.0</v>
      </c>
      <c r="CE98" s="18">
        <v>16.0</v>
      </c>
      <c r="CF98" s="19">
        <v>22.0</v>
      </c>
      <c r="CG98" s="19">
        <v>24.0</v>
      </c>
      <c r="CH98" s="20">
        <v>20.0</v>
      </c>
      <c r="CI98" s="25">
        <v>19.0</v>
      </c>
      <c r="CJ98" s="25">
        <v>22.0</v>
      </c>
      <c r="CK98" s="26" t="str">
        <f t="shared" si="11"/>
        <v>Intrapersonal Intelligence</v>
      </c>
      <c r="CL98" s="26"/>
    </row>
    <row r="99" ht="22.5" customHeight="1">
      <c r="A99" s="14">
        <v>46041.40585224537</v>
      </c>
      <c r="B99" s="15" t="s">
        <v>96</v>
      </c>
      <c r="C99" s="15" t="s">
        <v>90</v>
      </c>
      <c r="D99" s="15" t="s">
        <v>91</v>
      </c>
      <c r="E99" s="15" t="s">
        <v>97</v>
      </c>
      <c r="F99" s="27"/>
      <c r="G99" s="15">
        <v>5.0</v>
      </c>
      <c r="H99" s="15">
        <v>5.0</v>
      </c>
      <c r="I99" s="15">
        <v>5.0</v>
      </c>
      <c r="J99" s="15">
        <v>5.0</v>
      </c>
      <c r="K99" s="17">
        <f t="shared" si="1"/>
        <v>20</v>
      </c>
      <c r="L99" s="15">
        <v>4.0</v>
      </c>
      <c r="M99" s="15">
        <v>5.0</v>
      </c>
      <c r="N99" s="15">
        <v>5.0</v>
      </c>
      <c r="O99" s="15">
        <v>5.0</v>
      </c>
      <c r="P99" s="15">
        <v>5.0</v>
      </c>
      <c r="Q99" s="15">
        <v>5.0</v>
      </c>
      <c r="R99" s="18">
        <f t="shared" si="2"/>
        <v>29</v>
      </c>
      <c r="S99" s="15">
        <v>3.0</v>
      </c>
      <c r="T99" s="15">
        <v>3.0</v>
      </c>
      <c r="U99" s="15">
        <v>4.0</v>
      </c>
      <c r="V99" s="15">
        <v>4.0</v>
      </c>
      <c r="W99" s="15">
        <v>4.0</v>
      </c>
      <c r="X99" s="15">
        <v>3.0</v>
      </c>
      <c r="Y99" s="18">
        <f t="shared" si="3"/>
        <v>21</v>
      </c>
      <c r="Z99" s="15">
        <v>5.0</v>
      </c>
      <c r="AA99" s="15">
        <v>5.0</v>
      </c>
      <c r="AB99" s="15">
        <v>4.0</v>
      </c>
      <c r="AC99" s="15">
        <v>5.0</v>
      </c>
      <c r="AD99" s="15">
        <v>4.0</v>
      </c>
      <c r="AE99" s="15">
        <v>4.0</v>
      </c>
      <c r="AF99" s="18">
        <f t="shared" si="4"/>
        <v>27</v>
      </c>
      <c r="AG99" s="15">
        <v>2.0</v>
      </c>
      <c r="AH99" s="15">
        <v>4.0</v>
      </c>
      <c r="AI99" s="15">
        <v>5.0</v>
      </c>
      <c r="AJ99" s="15">
        <v>4.0</v>
      </c>
      <c r="AK99" s="15">
        <v>5.0</v>
      </c>
      <c r="AL99" s="15">
        <v>5.0</v>
      </c>
      <c r="AM99" s="19">
        <f t="shared" si="5"/>
        <v>25</v>
      </c>
      <c r="AN99" s="15">
        <v>5.0</v>
      </c>
      <c r="AO99" s="15">
        <v>5.0</v>
      </c>
      <c r="AP99" s="15">
        <v>4.0</v>
      </c>
      <c r="AQ99" s="15">
        <v>5.0</v>
      </c>
      <c r="AR99" s="15">
        <v>4.0</v>
      </c>
      <c r="AS99" s="15">
        <v>5.0</v>
      </c>
      <c r="AT99" s="19">
        <f t="shared" si="6"/>
        <v>28</v>
      </c>
      <c r="AU99" s="15">
        <v>4.0</v>
      </c>
      <c r="AV99" s="15">
        <v>5.0</v>
      </c>
      <c r="AW99" s="15">
        <v>5.0</v>
      </c>
      <c r="AX99" s="15">
        <v>5.0</v>
      </c>
      <c r="AY99" s="15">
        <v>4.0</v>
      </c>
      <c r="AZ99" s="15">
        <v>4.0</v>
      </c>
      <c r="BA99" s="20">
        <f t="shared" si="7"/>
        <v>27</v>
      </c>
      <c r="BB99" s="15">
        <v>4.0</v>
      </c>
      <c r="BC99" s="15">
        <v>5.0</v>
      </c>
      <c r="BD99" s="15">
        <v>3.0</v>
      </c>
      <c r="BE99" s="15">
        <v>4.0</v>
      </c>
      <c r="BF99" s="15">
        <v>5.0</v>
      </c>
      <c r="BG99" s="15">
        <v>4.0</v>
      </c>
      <c r="BH99" s="21">
        <f t="shared" si="8"/>
        <v>25</v>
      </c>
      <c r="BI99" s="15">
        <v>4.0</v>
      </c>
      <c r="BJ99" s="15">
        <v>3.0</v>
      </c>
      <c r="BK99" s="15">
        <v>4.0</v>
      </c>
      <c r="BL99" s="15">
        <v>5.0</v>
      </c>
      <c r="BM99" s="15">
        <v>5.0</v>
      </c>
      <c r="BN99" s="15">
        <v>4.0</v>
      </c>
      <c r="BO99" s="21">
        <f t="shared" si="9"/>
        <v>25</v>
      </c>
      <c r="BP99" s="22">
        <v>5.0</v>
      </c>
      <c r="BQ99" s="15">
        <v>5.0</v>
      </c>
      <c r="BR99" s="15">
        <v>4.0</v>
      </c>
      <c r="BS99" s="15">
        <v>5.0</v>
      </c>
      <c r="BT99" s="15">
        <v>5.0</v>
      </c>
      <c r="BU99" s="15">
        <v>4.0</v>
      </c>
      <c r="BV99" s="15">
        <v>3.0</v>
      </c>
      <c r="BW99" s="15">
        <v>5.0</v>
      </c>
      <c r="BX99" s="15">
        <v>4.0</v>
      </c>
      <c r="BY99" s="15">
        <v>4.0</v>
      </c>
      <c r="BZ99" s="15">
        <v>5.0</v>
      </c>
      <c r="CA99" s="15">
        <v>3.0</v>
      </c>
      <c r="CB99" s="23">
        <f t="shared" si="10"/>
        <v>52</v>
      </c>
      <c r="CC99" s="24">
        <v>29.0</v>
      </c>
      <c r="CD99" s="18">
        <v>21.0</v>
      </c>
      <c r="CE99" s="18">
        <v>27.0</v>
      </c>
      <c r="CF99" s="19">
        <v>25.0</v>
      </c>
      <c r="CG99" s="19">
        <v>28.0</v>
      </c>
      <c r="CH99" s="20">
        <v>27.0</v>
      </c>
      <c r="CI99" s="25">
        <v>25.0</v>
      </c>
      <c r="CJ99" s="25">
        <v>25.0</v>
      </c>
      <c r="CK99" s="26" t="str">
        <f t="shared" si="11"/>
        <v>Intrapersonal Intelligence</v>
      </c>
      <c r="CL99" s="26"/>
    </row>
    <row r="100" ht="22.5" customHeight="1">
      <c r="A100" s="14">
        <v>46041.40686321759</v>
      </c>
      <c r="B100" s="15" t="s">
        <v>96</v>
      </c>
      <c r="C100" s="15" t="s">
        <v>90</v>
      </c>
      <c r="D100" s="15" t="s">
        <v>91</v>
      </c>
      <c r="E100" s="15" t="s">
        <v>97</v>
      </c>
      <c r="F100" s="27"/>
      <c r="G100" s="15">
        <v>5.0</v>
      </c>
      <c r="H100" s="15">
        <v>5.0</v>
      </c>
      <c r="I100" s="15">
        <v>5.0</v>
      </c>
      <c r="J100" s="15">
        <v>5.0</v>
      </c>
      <c r="K100" s="17">
        <f t="shared" si="1"/>
        <v>20</v>
      </c>
      <c r="L100" s="15">
        <v>5.0</v>
      </c>
      <c r="M100" s="15">
        <v>5.0</v>
      </c>
      <c r="N100" s="15">
        <v>5.0</v>
      </c>
      <c r="O100" s="15">
        <v>5.0</v>
      </c>
      <c r="P100" s="15">
        <v>5.0</v>
      </c>
      <c r="Q100" s="15">
        <v>5.0</v>
      </c>
      <c r="R100" s="18">
        <f t="shared" si="2"/>
        <v>30</v>
      </c>
      <c r="S100" s="15">
        <v>4.0</v>
      </c>
      <c r="T100" s="15">
        <v>4.0</v>
      </c>
      <c r="U100" s="15">
        <v>5.0</v>
      </c>
      <c r="V100" s="15">
        <v>4.0</v>
      </c>
      <c r="W100" s="15">
        <v>4.0</v>
      </c>
      <c r="X100" s="15">
        <v>5.0</v>
      </c>
      <c r="Y100" s="18">
        <f t="shared" si="3"/>
        <v>26</v>
      </c>
      <c r="Z100" s="15">
        <v>4.0</v>
      </c>
      <c r="AA100" s="15">
        <v>4.0</v>
      </c>
      <c r="AB100" s="15">
        <v>4.0</v>
      </c>
      <c r="AC100" s="15">
        <v>5.0</v>
      </c>
      <c r="AD100" s="15">
        <v>4.0</v>
      </c>
      <c r="AE100" s="15">
        <v>4.0</v>
      </c>
      <c r="AF100" s="18">
        <f t="shared" si="4"/>
        <v>25</v>
      </c>
      <c r="AG100" s="15">
        <v>4.0</v>
      </c>
      <c r="AH100" s="15">
        <v>3.0</v>
      </c>
      <c r="AI100" s="15">
        <v>4.0</v>
      </c>
      <c r="AJ100" s="15">
        <v>4.0</v>
      </c>
      <c r="AK100" s="15">
        <v>5.0</v>
      </c>
      <c r="AL100" s="15">
        <v>5.0</v>
      </c>
      <c r="AM100" s="19">
        <f t="shared" si="5"/>
        <v>25</v>
      </c>
      <c r="AN100" s="15">
        <v>5.0</v>
      </c>
      <c r="AO100" s="15">
        <v>5.0</v>
      </c>
      <c r="AP100" s="15">
        <v>4.0</v>
      </c>
      <c r="AQ100" s="15">
        <v>5.0</v>
      </c>
      <c r="AR100" s="15">
        <v>4.0</v>
      </c>
      <c r="AS100" s="15">
        <v>5.0</v>
      </c>
      <c r="AT100" s="19">
        <f t="shared" si="6"/>
        <v>28</v>
      </c>
      <c r="AU100" s="15">
        <v>4.0</v>
      </c>
      <c r="AV100" s="15">
        <v>5.0</v>
      </c>
      <c r="AW100" s="15">
        <v>5.0</v>
      </c>
      <c r="AX100" s="15">
        <v>4.0</v>
      </c>
      <c r="AY100" s="15">
        <v>4.0</v>
      </c>
      <c r="AZ100" s="15">
        <v>4.0</v>
      </c>
      <c r="BA100" s="20">
        <f t="shared" si="7"/>
        <v>26</v>
      </c>
      <c r="BB100" s="15">
        <v>4.0</v>
      </c>
      <c r="BC100" s="15">
        <v>3.0</v>
      </c>
      <c r="BD100" s="15">
        <v>4.0</v>
      </c>
      <c r="BE100" s="15">
        <v>3.0</v>
      </c>
      <c r="BF100" s="15">
        <v>4.0</v>
      </c>
      <c r="BG100" s="15">
        <v>3.0</v>
      </c>
      <c r="BH100" s="21">
        <f t="shared" si="8"/>
        <v>21</v>
      </c>
      <c r="BI100" s="15">
        <v>4.0</v>
      </c>
      <c r="BJ100" s="15">
        <v>5.0</v>
      </c>
      <c r="BK100" s="15">
        <v>4.0</v>
      </c>
      <c r="BL100" s="15">
        <v>5.0</v>
      </c>
      <c r="BM100" s="15">
        <v>5.0</v>
      </c>
      <c r="BN100" s="15">
        <v>4.0</v>
      </c>
      <c r="BO100" s="21">
        <f t="shared" si="9"/>
        <v>27</v>
      </c>
      <c r="BP100" s="22">
        <v>5.0</v>
      </c>
      <c r="BQ100" s="15">
        <v>4.0</v>
      </c>
      <c r="BR100" s="15">
        <v>5.0</v>
      </c>
      <c r="BS100" s="15">
        <v>4.0</v>
      </c>
      <c r="BT100" s="15">
        <v>5.0</v>
      </c>
      <c r="BU100" s="15">
        <v>4.0</v>
      </c>
      <c r="BV100" s="15">
        <v>5.0</v>
      </c>
      <c r="BW100" s="15">
        <v>5.0</v>
      </c>
      <c r="BX100" s="15">
        <v>5.0</v>
      </c>
      <c r="BY100" s="15">
        <v>5.0</v>
      </c>
      <c r="BZ100" s="15">
        <v>4.0</v>
      </c>
      <c r="CA100" s="15">
        <v>3.0</v>
      </c>
      <c r="CB100" s="23">
        <f t="shared" si="10"/>
        <v>54</v>
      </c>
      <c r="CC100" s="24">
        <v>30.0</v>
      </c>
      <c r="CD100" s="18">
        <v>26.0</v>
      </c>
      <c r="CE100" s="18">
        <v>25.0</v>
      </c>
      <c r="CF100" s="19">
        <v>25.0</v>
      </c>
      <c r="CG100" s="19">
        <v>28.0</v>
      </c>
      <c r="CH100" s="20">
        <v>26.0</v>
      </c>
      <c r="CI100" s="25">
        <v>21.0</v>
      </c>
      <c r="CJ100" s="25">
        <v>27.0</v>
      </c>
      <c r="CK100" s="26" t="str">
        <f t="shared" si="11"/>
        <v>Intrapersonal Intelligence</v>
      </c>
      <c r="CL100" s="26"/>
    </row>
    <row r="101" ht="22.5" customHeight="1">
      <c r="A101" s="14">
        <v>46041.89064547454</v>
      </c>
      <c r="B101" s="15" t="s">
        <v>89</v>
      </c>
      <c r="C101" s="15" t="s">
        <v>90</v>
      </c>
      <c r="D101" s="15" t="s">
        <v>91</v>
      </c>
      <c r="E101" s="15" t="s">
        <v>108</v>
      </c>
      <c r="F101" s="27"/>
      <c r="G101" s="15">
        <v>5.0</v>
      </c>
      <c r="H101" s="15">
        <v>3.0</v>
      </c>
      <c r="I101" s="15">
        <v>5.0</v>
      </c>
      <c r="J101" s="15">
        <v>4.0</v>
      </c>
      <c r="K101" s="17">
        <f t="shared" si="1"/>
        <v>17</v>
      </c>
      <c r="L101" s="15">
        <v>5.0</v>
      </c>
      <c r="M101" s="15">
        <v>4.0</v>
      </c>
      <c r="N101" s="15">
        <v>5.0</v>
      </c>
      <c r="O101" s="15">
        <v>5.0</v>
      </c>
      <c r="P101" s="15">
        <v>5.0</v>
      </c>
      <c r="Q101" s="15">
        <v>5.0</v>
      </c>
      <c r="R101" s="18">
        <f t="shared" si="2"/>
        <v>29</v>
      </c>
      <c r="S101" s="15">
        <v>5.0</v>
      </c>
      <c r="T101" s="15">
        <v>5.0</v>
      </c>
      <c r="U101" s="15">
        <v>5.0</v>
      </c>
      <c r="V101" s="15">
        <v>5.0</v>
      </c>
      <c r="W101" s="15">
        <v>5.0</v>
      </c>
      <c r="X101" s="15">
        <v>5.0</v>
      </c>
      <c r="Y101" s="18">
        <f t="shared" si="3"/>
        <v>30</v>
      </c>
      <c r="Z101" s="15">
        <v>4.0</v>
      </c>
      <c r="AA101" s="15">
        <v>4.0</v>
      </c>
      <c r="AB101" s="15">
        <v>5.0</v>
      </c>
      <c r="AC101" s="15">
        <v>3.0</v>
      </c>
      <c r="AD101" s="15">
        <v>4.0</v>
      </c>
      <c r="AE101" s="15">
        <v>5.0</v>
      </c>
      <c r="AF101" s="18">
        <f t="shared" si="4"/>
        <v>25</v>
      </c>
      <c r="AG101" s="15">
        <v>5.0</v>
      </c>
      <c r="AH101" s="15">
        <v>4.0</v>
      </c>
      <c r="AI101" s="15">
        <v>4.0</v>
      </c>
      <c r="AJ101" s="15">
        <v>5.0</v>
      </c>
      <c r="AK101" s="15">
        <v>4.0</v>
      </c>
      <c r="AL101" s="15">
        <v>5.0</v>
      </c>
      <c r="AM101" s="19">
        <f t="shared" si="5"/>
        <v>27</v>
      </c>
      <c r="AN101" s="15">
        <v>5.0</v>
      </c>
      <c r="AO101" s="15">
        <v>4.0</v>
      </c>
      <c r="AP101" s="15">
        <v>5.0</v>
      </c>
      <c r="AQ101" s="15">
        <v>4.0</v>
      </c>
      <c r="AR101" s="15">
        <v>4.0</v>
      </c>
      <c r="AS101" s="15">
        <v>5.0</v>
      </c>
      <c r="AT101" s="19">
        <f t="shared" si="6"/>
        <v>27</v>
      </c>
      <c r="AU101" s="15">
        <v>3.0</v>
      </c>
      <c r="AV101" s="15">
        <v>2.0</v>
      </c>
      <c r="AW101" s="15">
        <v>3.0</v>
      </c>
      <c r="AX101" s="15">
        <v>3.0</v>
      </c>
      <c r="AY101" s="15">
        <v>2.0</v>
      </c>
      <c r="AZ101" s="15">
        <v>3.0</v>
      </c>
      <c r="BA101" s="20">
        <f t="shared" si="7"/>
        <v>16</v>
      </c>
      <c r="BB101" s="15">
        <v>4.0</v>
      </c>
      <c r="BC101" s="15">
        <v>4.0</v>
      </c>
      <c r="BD101" s="15">
        <v>4.0</v>
      </c>
      <c r="BE101" s="15">
        <v>5.0</v>
      </c>
      <c r="BF101" s="15">
        <v>3.0</v>
      </c>
      <c r="BG101" s="15">
        <v>3.0</v>
      </c>
      <c r="BH101" s="21">
        <f t="shared" si="8"/>
        <v>23</v>
      </c>
      <c r="BI101" s="15">
        <v>3.0</v>
      </c>
      <c r="BJ101" s="15">
        <v>3.0</v>
      </c>
      <c r="BK101" s="15">
        <v>4.0</v>
      </c>
      <c r="BL101" s="15">
        <v>5.0</v>
      </c>
      <c r="BM101" s="15">
        <v>5.0</v>
      </c>
      <c r="BN101" s="15">
        <v>4.0</v>
      </c>
      <c r="BO101" s="21">
        <f t="shared" si="9"/>
        <v>24</v>
      </c>
      <c r="BP101" s="22">
        <v>3.0</v>
      </c>
      <c r="BQ101" s="15">
        <v>5.0</v>
      </c>
      <c r="BR101" s="15">
        <v>4.0</v>
      </c>
      <c r="BS101" s="15">
        <v>5.0</v>
      </c>
      <c r="BT101" s="15">
        <v>4.0</v>
      </c>
      <c r="BU101" s="15">
        <v>5.0</v>
      </c>
      <c r="BV101" s="15">
        <v>5.0</v>
      </c>
      <c r="BW101" s="15">
        <v>4.0</v>
      </c>
      <c r="BX101" s="15">
        <v>4.0</v>
      </c>
      <c r="BY101" s="15">
        <v>5.0</v>
      </c>
      <c r="BZ101" s="15">
        <v>5.0</v>
      </c>
      <c r="CA101" s="15">
        <v>4.0</v>
      </c>
      <c r="CB101" s="23">
        <f t="shared" si="10"/>
        <v>53</v>
      </c>
      <c r="CC101" s="24">
        <v>29.0</v>
      </c>
      <c r="CD101" s="18">
        <v>30.0</v>
      </c>
      <c r="CE101" s="18">
        <v>25.0</v>
      </c>
      <c r="CF101" s="19">
        <v>27.0</v>
      </c>
      <c r="CG101" s="19">
        <v>27.0</v>
      </c>
      <c r="CH101" s="20">
        <v>16.0</v>
      </c>
      <c r="CI101" s="25">
        <v>23.0</v>
      </c>
      <c r="CJ101" s="25">
        <v>24.0</v>
      </c>
      <c r="CK101" s="26" t="str">
        <f t="shared" si="11"/>
        <v>Interpersonal Intelligence
</v>
      </c>
      <c r="CL101" s="26"/>
    </row>
    <row r="102" ht="15.75" customHeight="1">
      <c r="A102" s="28"/>
      <c r="B102" s="28"/>
      <c r="C102" s="28"/>
      <c r="D102" s="28"/>
      <c r="E102" s="28"/>
      <c r="F102" s="29"/>
      <c r="G102" s="28"/>
      <c r="H102" s="28"/>
      <c r="I102" s="28"/>
      <c r="J102" s="28"/>
      <c r="K102" s="30"/>
      <c r="L102" s="28"/>
      <c r="M102" s="28"/>
      <c r="N102" s="28"/>
      <c r="O102" s="28"/>
      <c r="P102" s="28"/>
      <c r="Q102" s="28"/>
      <c r="R102" s="31">
        <f>sum(R2:R101)</f>
        <v>2311</v>
      </c>
      <c r="S102" s="28"/>
      <c r="T102" s="28"/>
      <c r="U102" s="28"/>
      <c r="V102" s="28"/>
      <c r="W102" s="28"/>
      <c r="X102" s="28"/>
      <c r="Y102" s="31">
        <f>Sum(Y2:Y101)</f>
        <v>2153</v>
      </c>
      <c r="Z102" s="28"/>
      <c r="AA102" s="28"/>
      <c r="AB102" s="28"/>
      <c r="AC102" s="28"/>
      <c r="AD102" s="28"/>
      <c r="AE102" s="28"/>
      <c r="AF102" s="31">
        <f>sum(AF2:AF101)</f>
        <v>2156</v>
      </c>
      <c r="AG102" s="28"/>
      <c r="AH102" s="28"/>
      <c r="AI102" s="28"/>
      <c r="AJ102" s="28"/>
      <c r="AK102" s="28"/>
      <c r="AL102" s="28"/>
      <c r="AM102" s="32">
        <f>SUM(AM2:AM101)</f>
        <v>2087</v>
      </c>
      <c r="AN102" s="28"/>
      <c r="AO102" s="28"/>
      <c r="AP102" s="28"/>
      <c r="AQ102" s="28"/>
      <c r="AR102" s="28"/>
      <c r="AS102" s="28"/>
      <c r="AT102" s="32">
        <f>SUM(AT2:AT101)</f>
        <v>2260</v>
      </c>
      <c r="AU102" s="28"/>
      <c r="AV102" s="28"/>
      <c r="AW102" s="28"/>
      <c r="AX102" s="28"/>
      <c r="AY102" s="28"/>
      <c r="AZ102" s="28"/>
      <c r="BA102" s="33">
        <f>SUM(BA2:BA101)</f>
        <v>2164</v>
      </c>
      <c r="BB102" s="28"/>
      <c r="BC102" s="28"/>
      <c r="BD102" s="28"/>
      <c r="BE102" s="28"/>
      <c r="BF102" s="28"/>
      <c r="BG102" s="28"/>
      <c r="BH102" s="34">
        <f>SUM(BH2:BH101)</f>
        <v>2183</v>
      </c>
      <c r="BI102" s="28"/>
      <c r="BJ102" s="28"/>
      <c r="BK102" s="28"/>
      <c r="BL102" s="28"/>
      <c r="BM102" s="28"/>
      <c r="BN102" s="28"/>
      <c r="BO102" s="34">
        <f>SUM(BO2:BO101)</f>
        <v>2313</v>
      </c>
      <c r="BP102" s="35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36"/>
      <c r="CC102" s="31">
        <v>2311.0</v>
      </c>
      <c r="CD102" s="31">
        <v>2153.0</v>
      </c>
      <c r="CE102" s="31">
        <v>2156.0</v>
      </c>
      <c r="CF102" s="32">
        <v>2087.0</v>
      </c>
      <c r="CG102" s="32">
        <v>2260.0</v>
      </c>
      <c r="CH102" s="33">
        <v>2164.0</v>
      </c>
      <c r="CI102" s="37">
        <v>2183.0</v>
      </c>
      <c r="CJ102" s="37">
        <v>2313.0</v>
      </c>
      <c r="CK102" s="26" t="s">
        <v>135</v>
      </c>
      <c r="CL102" s="26"/>
    </row>
    <row r="103" ht="15.75" customHeight="1">
      <c r="K103" s="38"/>
      <c r="R103" s="39"/>
      <c r="Y103" s="39"/>
      <c r="AF103" s="39"/>
      <c r="AM103" s="40"/>
      <c r="AT103" s="40"/>
      <c r="BA103" s="41"/>
      <c r="BH103" s="42"/>
      <c r="BO103" s="42"/>
      <c r="BP103" s="43"/>
      <c r="CB103" s="44"/>
      <c r="CC103" s="39"/>
      <c r="CD103" s="39"/>
      <c r="CE103" s="39"/>
      <c r="CF103" s="40"/>
      <c r="CG103" s="40"/>
      <c r="CH103" s="41"/>
      <c r="CI103" s="45"/>
      <c r="CJ103" s="45"/>
      <c r="CK103" s="45"/>
      <c r="CL103" s="45"/>
    </row>
    <row r="104" ht="15.75" customHeight="1">
      <c r="K104" s="38"/>
      <c r="R104" s="39"/>
      <c r="Y104" s="39"/>
      <c r="AF104" s="39"/>
      <c r="AM104" s="40"/>
      <c r="AT104" s="40"/>
      <c r="BA104" s="41"/>
      <c r="BH104" s="42"/>
      <c r="BO104" s="42"/>
      <c r="BP104" s="43"/>
      <c r="CB104" s="44"/>
      <c r="CC104" s="39"/>
      <c r="CD104" s="39"/>
      <c r="CE104" s="39"/>
      <c r="CF104" s="40"/>
      <c r="CG104" s="40"/>
      <c r="CH104" s="41"/>
      <c r="CI104" s="45"/>
      <c r="CJ104" s="45"/>
      <c r="CK104" s="45"/>
      <c r="CL104" s="45"/>
    </row>
    <row r="105" ht="15.75" customHeight="1">
      <c r="K105" s="38"/>
      <c r="R105" s="39"/>
      <c r="Y105" s="39"/>
      <c r="AF105" s="39"/>
      <c r="AM105" s="40"/>
      <c r="AT105" s="40"/>
      <c r="BA105" s="41"/>
      <c r="BH105" s="42"/>
      <c r="BO105" s="42"/>
      <c r="BP105" s="43"/>
      <c r="CB105" s="44"/>
      <c r="CC105" s="39"/>
      <c r="CD105" s="39"/>
      <c r="CE105" s="39"/>
      <c r="CF105" s="40"/>
      <c r="CG105" s="40"/>
      <c r="CH105" s="41"/>
      <c r="CI105" s="45"/>
      <c r="CJ105" s="45"/>
      <c r="CK105" s="45"/>
      <c r="CL105" s="45"/>
    </row>
    <row r="106" ht="15.75" customHeight="1">
      <c r="B106" s="46" t="s">
        <v>80</v>
      </c>
      <c r="C106" s="46">
        <v>2311.0</v>
      </c>
      <c r="K106" s="38"/>
      <c r="R106" s="39"/>
      <c r="Y106" s="39"/>
      <c r="AF106" s="39"/>
      <c r="AM106" s="40"/>
      <c r="AT106" s="40"/>
      <c r="BA106" s="41"/>
      <c r="BH106" s="42"/>
      <c r="BO106" s="42"/>
      <c r="BP106" s="43"/>
      <c r="CB106" s="44"/>
      <c r="CC106" s="39"/>
      <c r="CD106" s="39"/>
      <c r="CE106" s="39"/>
      <c r="CF106" s="40"/>
      <c r="CG106" s="40"/>
      <c r="CH106" s="41"/>
      <c r="CI106" s="45"/>
      <c r="CJ106" s="45"/>
      <c r="CK106" s="45"/>
      <c r="CL106" s="45"/>
    </row>
    <row r="107" ht="15.75" customHeight="1">
      <c r="B107" s="46" t="s">
        <v>136</v>
      </c>
      <c r="C107" s="46">
        <v>2153.0</v>
      </c>
      <c r="K107" s="38"/>
      <c r="R107" s="39"/>
      <c r="Y107" s="39"/>
      <c r="AF107" s="39"/>
      <c r="AM107" s="40"/>
      <c r="AT107" s="40"/>
      <c r="BA107" s="41"/>
      <c r="BH107" s="42"/>
      <c r="BO107" s="42"/>
      <c r="BP107" s="43"/>
      <c r="CB107" s="44"/>
      <c r="CC107" s="39"/>
      <c r="CD107" s="39"/>
      <c r="CE107" s="39"/>
      <c r="CF107" s="40"/>
      <c r="CG107" s="40"/>
      <c r="CH107" s="41"/>
      <c r="CI107" s="45"/>
      <c r="CJ107" s="45"/>
      <c r="CK107" s="45"/>
      <c r="CL107" s="45"/>
    </row>
    <row r="108" ht="15.75" customHeight="1">
      <c r="B108" s="46" t="s">
        <v>82</v>
      </c>
      <c r="C108" s="46">
        <v>2156.0</v>
      </c>
      <c r="K108" s="38"/>
      <c r="R108" s="39"/>
      <c r="Y108" s="39"/>
      <c r="AF108" s="39"/>
      <c r="AM108" s="40"/>
      <c r="AT108" s="40"/>
      <c r="BA108" s="41"/>
      <c r="BH108" s="42"/>
      <c r="BO108" s="42"/>
      <c r="BP108" s="43"/>
      <c r="CB108" s="44"/>
      <c r="CC108" s="39"/>
      <c r="CD108" s="39"/>
      <c r="CE108" s="39"/>
      <c r="CF108" s="40"/>
      <c r="CG108" s="40"/>
      <c r="CH108" s="41"/>
      <c r="CI108" s="45"/>
      <c r="CJ108" s="45"/>
      <c r="CK108" s="45"/>
      <c r="CL108" s="45"/>
    </row>
    <row r="109" ht="15.75" customHeight="1">
      <c r="B109" s="46" t="s">
        <v>83</v>
      </c>
      <c r="C109" s="46">
        <v>2087.0</v>
      </c>
      <c r="K109" s="38"/>
      <c r="R109" s="39"/>
      <c r="Y109" s="39"/>
      <c r="AF109" s="39"/>
      <c r="AM109" s="40"/>
      <c r="AT109" s="40"/>
      <c r="BA109" s="41"/>
      <c r="BH109" s="42"/>
      <c r="BO109" s="42"/>
      <c r="BP109" s="43"/>
      <c r="CB109" s="44"/>
      <c r="CC109" s="39"/>
      <c r="CD109" s="39"/>
      <c r="CE109" s="39"/>
      <c r="CF109" s="40"/>
      <c r="CG109" s="40"/>
      <c r="CH109" s="41"/>
      <c r="CI109" s="45"/>
      <c r="CJ109" s="45"/>
      <c r="CK109" s="45"/>
      <c r="CL109" s="45"/>
    </row>
    <row r="110" ht="15.75" customHeight="1">
      <c r="B110" s="46" t="s">
        <v>84</v>
      </c>
      <c r="C110" s="46">
        <v>2260.0</v>
      </c>
      <c r="K110" s="38"/>
      <c r="R110" s="39"/>
      <c r="Y110" s="39"/>
      <c r="AF110" s="39"/>
      <c r="AM110" s="40"/>
      <c r="AT110" s="40"/>
      <c r="BA110" s="41"/>
      <c r="BH110" s="42"/>
      <c r="BO110" s="42"/>
      <c r="BP110" s="43"/>
      <c r="CB110" s="44"/>
      <c r="CC110" s="39"/>
      <c r="CD110" s="39"/>
      <c r="CE110" s="39"/>
      <c r="CF110" s="40"/>
      <c r="CG110" s="40"/>
      <c r="CH110" s="41"/>
      <c r="CI110" s="45"/>
      <c r="CJ110" s="45"/>
      <c r="CK110" s="45"/>
      <c r="CL110" s="45"/>
    </row>
    <row r="111" ht="15.75" customHeight="1">
      <c r="B111" s="46" t="s">
        <v>137</v>
      </c>
      <c r="C111" s="46">
        <v>2164.0</v>
      </c>
      <c r="K111" s="38"/>
      <c r="R111" s="39"/>
      <c r="Y111" s="39"/>
      <c r="AF111" s="39"/>
      <c r="AM111" s="40"/>
      <c r="AT111" s="40"/>
      <c r="BA111" s="41"/>
      <c r="BH111" s="42"/>
      <c r="BO111" s="42"/>
      <c r="BP111" s="43"/>
      <c r="CB111" s="44"/>
      <c r="CC111" s="39"/>
      <c r="CD111" s="39"/>
      <c r="CE111" s="39"/>
      <c r="CF111" s="40"/>
      <c r="CG111" s="40"/>
      <c r="CH111" s="41"/>
      <c r="CI111" s="45"/>
      <c r="CJ111" s="45"/>
      <c r="CK111" s="45"/>
      <c r="CL111" s="45"/>
    </row>
    <row r="112" ht="15.75" customHeight="1">
      <c r="B112" s="46" t="s">
        <v>138</v>
      </c>
      <c r="C112" s="46">
        <v>2183.0</v>
      </c>
      <c r="K112" s="38"/>
      <c r="R112" s="39"/>
      <c r="Y112" s="39"/>
      <c r="AF112" s="39"/>
      <c r="AM112" s="40"/>
      <c r="AT112" s="40"/>
      <c r="BA112" s="41"/>
      <c r="BH112" s="42"/>
      <c r="BO112" s="42"/>
      <c r="BP112" s="43"/>
      <c r="CB112" s="44"/>
      <c r="CC112" s="39"/>
      <c r="CD112" s="39"/>
      <c r="CE112" s="39"/>
      <c r="CF112" s="40"/>
      <c r="CG112" s="40"/>
      <c r="CH112" s="41"/>
      <c r="CI112" s="45"/>
      <c r="CJ112" s="45"/>
      <c r="CK112" s="45"/>
      <c r="CL112" s="45"/>
    </row>
    <row r="113" ht="15.75" customHeight="1">
      <c r="B113" s="46" t="s">
        <v>87</v>
      </c>
      <c r="C113" s="46">
        <v>2313.0</v>
      </c>
      <c r="K113" s="38"/>
      <c r="R113" s="39"/>
      <c r="Y113" s="39"/>
      <c r="AF113" s="39"/>
      <c r="AM113" s="40"/>
      <c r="AT113" s="40"/>
      <c r="BA113" s="41"/>
      <c r="BH113" s="42"/>
      <c r="BO113" s="42"/>
      <c r="BP113" s="43"/>
      <c r="CB113" s="44"/>
      <c r="CC113" s="39"/>
      <c r="CD113" s="39"/>
      <c r="CE113" s="39"/>
      <c r="CF113" s="40"/>
      <c r="CG113" s="40"/>
      <c r="CH113" s="41"/>
      <c r="CI113" s="45"/>
      <c r="CJ113" s="45"/>
      <c r="CK113" s="45"/>
      <c r="CL113" s="45"/>
    </row>
    <row r="114" ht="15.75" customHeight="1">
      <c r="B114" s="47"/>
      <c r="K114" s="38"/>
      <c r="R114" s="39"/>
      <c r="Y114" s="39"/>
      <c r="AF114" s="39"/>
      <c r="AM114" s="40"/>
      <c r="AT114" s="40"/>
      <c r="BA114" s="41"/>
      <c r="BH114" s="42"/>
      <c r="BO114" s="42"/>
      <c r="BP114" s="43"/>
      <c r="CB114" s="44"/>
      <c r="CC114" s="39"/>
      <c r="CD114" s="39"/>
      <c r="CE114" s="39"/>
      <c r="CF114" s="40"/>
      <c r="CG114" s="40"/>
      <c r="CH114" s="41"/>
      <c r="CI114" s="45"/>
      <c r="CJ114" s="45"/>
      <c r="CK114" s="45"/>
      <c r="CL114" s="45"/>
    </row>
    <row r="115" ht="15.75" customHeight="1">
      <c r="K115" s="38"/>
      <c r="R115" s="39"/>
      <c r="Y115" s="39"/>
      <c r="AF115" s="39"/>
      <c r="AM115" s="40"/>
      <c r="AT115" s="40"/>
      <c r="BA115" s="41"/>
      <c r="BH115" s="42"/>
      <c r="BO115" s="42"/>
      <c r="BP115" s="43"/>
      <c r="CB115" s="44"/>
      <c r="CC115" s="39"/>
      <c r="CD115" s="39"/>
      <c r="CE115" s="39"/>
      <c r="CF115" s="40"/>
      <c r="CG115" s="40"/>
      <c r="CH115" s="41"/>
      <c r="CI115" s="45"/>
      <c r="CJ115" s="45"/>
      <c r="CK115" s="45"/>
      <c r="CL115" s="45"/>
    </row>
    <row r="116" ht="15.75" customHeight="1">
      <c r="K116" s="38"/>
      <c r="R116" s="39"/>
      <c r="Y116" s="39"/>
      <c r="AF116" s="39"/>
      <c r="AM116" s="40"/>
      <c r="AT116" s="40"/>
      <c r="BA116" s="41"/>
      <c r="BH116" s="42"/>
      <c r="BO116" s="42"/>
      <c r="BP116" s="43"/>
      <c r="CB116" s="44"/>
      <c r="CC116" s="39"/>
      <c r="CD116" s="39"/>
      <c r="CE116" s="39"/>
      <c r="CF116" s="40"/>
      <c r="CG116" s="40"/>
      <c r="CH116" s="41"/>
      <c r="CI116" s="45"/>
      <c r="CJ116" s="45"/>
      <c r="CK116" s="45"/>
      <c r="CL116" s="45"/>
    </row>
    <row r="117" ht="15.75" customHeight="1">
      <c r="K117" s="38"/>
      <c r="R117" s="39"/>
      <c r="Y117" s="39"/>
      <c r="AF117" s="39"/>
      <c r="AM117" s="40"/>
      <c r="AT117" s="40"/>
      <c r="BA117" s="41"/>
      <c r="BH117" s="42"/>
      <c r="BO117" s="42"/>
      <c r="BP117" s="43"/>
      <c r="CB117" s="44"/>
      <c r="CC117" s="39"/>
      <c r="CD117" s="39"/>
      <c r="CE117" s="39"/>
      <c r="CF117" s="40"/>
      <c r="CG117" s="40"/>
      <c r="CH117" s="41"/>
      <c r="CI117" s="45"/>
      <c r="CJ117" s="45"/>
      <c r="CK117" s="45"/>
      <c r="CL117" s="45"/>
    </row>
    <row r="118" ht="15.75" customHeight="1">
      <c r="K118" s="38"/>
      <c r="R118" s="39"/>
      <c r="Y118" s="39"/>
      <c r="AF118" s="39"/>
      <c r="AM118" s="40"/>
      <c r="AT118" s="40"/>
      <c r="BA118" s="41"/>
      <c r="BH118" s="42"/>
      <c r="BO118" s="42"/>
      <c r="BP118" s="43"/>
      <c r="CB118" s="44"/>
      <c r="CC118" s="39"/>
      <c r="CD118" s="39"/>
      <c r="CE118" s="39"/>
      <c r="CF118" s="40"/>
      <c r="CG118" s="40"/>
      <c r="CH118" s="41"/>
      <c r="CI118" s="45"/>
      <c r="CJ118" s="45"/>
      <c r="CK118" s="45"/>
      <c r="CL118" s="45"/>
    </row>
    <row r="119" ht="15.75" customHeight="1">
      <c r="K119" s="38"/>
      <c r="R119" s="39"/>
      <c r="Y119" s="39"/>
      <c r="AF119" s="39"/>
      <c r="AM119" s="40"/>
      <c r="AT119" s="40"/>
      <c r="BA119" s="41"/>
      <c r="BH119" s="42"/>
      <c r="BO119" s="42"/>
      <c r="BP119" s="43"/>
      <c r="CB119" s="44"/>
      <c r="CC119" s="39"/>
      <c r="CD119" s="39"/>
      <c r="CE119" s="39"/>
      <c r="CF119" s="40"/>
      <c r="CG119" s="40"/>
      <c r="CH119" s="41"/>
      <c r="CI119" s="45"/>
      <c r="CJ119" s="45"/>
      <c r="CK119" s="45"/>
      <c r="CL119" s="45"/>
    </row>
    <row r="120" ht="15.75" customHeight="1">
      <c r="K120" s="38"/>
      <c r="R120" s="39"/>
      <c r="Y120" s="39"/>
      <c r="AF120" s="39"/>
      <c r="AM120" s="40"/>
      <c r="AT120" s="40"/>
      <c r="BA120" s="41"/>
      <c r="BH120" s="42"/>
      <c r="BO120" s="42"/>
      <c r="BP120" s="43"/>
      <c r="CB120" s="44"/>
      <c r="CC120" s="39"/>
      <c r="CD120" s="39"/>
      <c r="CE120" s="39"/>
      <c r="CF120" s="40"/>
      <c r="CG120" s="40"/>
      <c r="CH120" s="41"/>
      <c r="CI120" s="45"/>
      <c r="CJ120" s="45"/>
      <c r="CK120" s="45"/>
      <c r="CL120" s="45"/>
    </row>
    <row r="121" ht="15.75" customHeight="1">
      <c r="K121" s="38"/>
      <c r="R121" s="39"/>
      <c r="Y121" s="39"/>
      <c r="AF121" s="39"/>
      <c r="AM121" s="40"/>
      <c r="AT121" s="40"/>
      <c r="BA121" s="41"/>
      <c r="BH121" s="42"/>
      <c r="BO121" s="42"/>
      <c r="BP121" s="43"/>
      <c r="CB121" s="44"/>
      <c r="CC121" s="39"/>
      <c r="CD121" s="39"/>
      <c r="CE121" s="39"/>
      <c r="CF121" s="40"/>
      <c r="CG121" s="40"/>
      <c r="CH121" s="41"/>
      <c r="CI121" s="45"/>
      <c r="CJ121" s="45"/>
      <c r="CK121" s="45"/>
      <c r="CL121" s="45"/>
    </row>
    <row r="122" ht="15.75" customHeight="1">
      <c r="K122" s="38"/>
      <c r="R122" s="39"/>
      <c r="Y122" s="39"/>
      <c r="AF122" s="39"/>
      <c r="AM122" s="40"/>
      <c r="AT122" s="40"/>
      <c r="BA122" s="41"/>
      <c r="BH122" s="42"/>
      <c r="BO122" s="42"/>
      <c r="BP122" s="43"/>
      <c r="CB122" s="44"/>
      <c r="CC122" s="39"/>
      <c r="CD122" s="39"/>
      <c r="CE122" s="39"/>
      <c r="CF122" s="40"/>
      <c r="CG122" s="40"/>
      <c r="CH122" s="41"/>
      <c r="CI122" s="45"/>
      <c r="CJ122" s="45"/>
      <c r="CK122" s="45"/>
      <c r="CL122" s="45"/>
    </row>
    <row r="123" ht="15.75" customHeight="1">
      <c r="K123" s="38"/>
      <c r="R123" s="39"/>
      <c r="Y123" s="39"/>
      <c r="AF123" s="39"/>
      <c r="AM123" s="40"/>
      <c r="AT123" s="40"/>
      <c r="BA123" s="41"/>
      <c r="BH123" s="42"/>
      <c r="BO123" s="42"/>
      <c r="BP123" s="43"/>
      <c r="CB123" s="44"/>
      <c r="CC123" s="39"/>
      <c r="CD123" s="39"/>
      <c r="CE123" s="39"/>
      <c r="CF123" s="40"/>
      <c r="CG123" s="40"/>
      <c r="CH123" s="41"/>
      <c r="CI123" s="45"/>
      <c r="CJ123" s="45"/>
      <c r="CK123" s="45"/>
      <c r="CL123" s="45"/>
    </row>
    <row r="124" ht="15.75" customHeight="1">
      <c r="K124" s="38"/>
      <c r="R124" s="39"/>
      <c r="Y124" s="39"/>
      <c r="AF124" s="39"/>
      <c r="AM124" s="40"/>
      <c r="AT124" s="40"/>
      <c r="BA124" s="41"/>
      <c r="BH124" s="42"/>
      <c r="BO124" s="42"/>
      <c r="BP124" s="43"/>
      <c r="CB124" s="44"/>
      <c r="CC124" s="39"/>
      <c r="CD124" s="39"/>
      <c r="CE124" s="39"/>
      <c r="CF124" s="40"/>
      <c r="CG124" s="40"/>
      <c r="CH124" s="41"/>
      <c r="CI124" s="45"/>
      <c r="CJ124" s="45"/>
      <c r="CK124" s="45"/>
      <c r="CL124" s="45"/>
    </row>
    <row r="125" ht="15.75" customHeight="1">
      <c r="K125" s="38"/>
      <c r="R125" s="39"/>
      <c r="Y125" s="39"/>
      <c r="AF125" s="39"/>
      <c r="AM125" s="40"/>
      <c r="AT125" s="40"/>
      <c r="BA125" s="41"/>
      <c r="BH125" s="42"/>
      <c r="BO125" s="42"/>
      <c r="BP125" s="43"/>
      <c r="CB125" s="44"/>
      <c r="CC125" s="39"/>
      <c r="CD125" s="39"/>
      <c r="CE125" s="39"/>
      <c r="CF125" s="40"/>
      <c r="CG125" s="40"/>
      <c r="CH125" s="41"/>
      <c r="CI125" s="45"/>
      <c r="CJ125" s="45"/>
      <c r="CK125" s="45"/>
      <c r="CL125" s="45"/>
    </row>
    <row r="126" ht="15.75" customHeight="1">
      <c r="K126" s="38"/>
      <c r="R126" s="39"/>
      <c r="Y126" s="39"/>
      <c r="AF126" s="39"/>
      <c r="AM126" s="40"/>
      <c r="AT126" s="40"/>
      <c r="BA126" s="41"/>
      <c r="BH126" s="42"/>
      <c r="BO126" s="42"/>
      <c r="BP126" s="43"/>
      <c r="CB126" s="44"/>
      <c r="CC126" s="39"/>
      <c r="CD126" s="39"/>
      <c r="CE126" s="39"/>
      <c r="CF126" s="40"/>
      <c r="CG126" s="40"/>
      <c r="CH126" s="41"/>
      <c r="CI126" s="45"/>
      <c r="CJ126" s="45"/>
      <c r="CK126" s="45"/>
      <c r="CL126" s="45"/>
    </row>
    <row r="127" ht="15.75" customHeight="1">
      <c r="K127" s="38"/>
      <c r="R127" s="39"/>
      <c r="Y127" s="39"/>
      <c r="AF127" s="39"/>
      <c r="AM127" s="40"/>
      <c r="AT127" s="40"/>
      <c r="BA127" s="41"/>
      <c r="BH127" s="42"/>
      <c r="BO127" s="42"/>
      <c r="BP127" s="43"/>
      <c r="CB127" s="44"/>
      <c r="CC127" s="39"/>
      <c r="CD127" s="39"/>
      <c r="CE127" s="39"/>
      <c r="CF127" s="40"/>
      <c r="CG127" s="40"/>
      <c r="CH127" s="41"/>
      <c r="CI127" s="45"/>
      <c r="CJ127" s="45"/>
      <c r="CK127" s="45"/>
      <c r="CL127" s="45"/>
    </row>
    <row r="128" ht="15.75" customHeight="1">
      <c r="K128" s="38"/>
      <c r="R128" s="39"/>
      <c r="Y128" s="39"/>
      <c r="AF128" s="39"/>
      <c r="AM128" s="40"/>
      <c r="AT128" s="40"/>
      <c r="BA128" s="41"/>
      <c r="BH128" s="42"/>
      <c r="BO128" s="42"/>
      <c r="BP128" s="43"/>
      <c r="CB128" s="44"/>
      <c r="CC128" s="39"/>
      <c r="CD128" s="39"/>
      <c r="CE128" s="39"/>
      <c r="CF128" s="40"/>
      <c r="CG128" s="40"/>
      <c r="CH128" s="41"/>
      <c r="CI128" s="45"/>
      <c r="CJ128" s="45"/>
      <c r="CK128" s="45"/>
      <c r="CL128" s="45"/>
    </row>
    <row r="129" ht="15.75" customHeight="1">
      <c r="K129" s="38"/>
      <c r="R129" s="39"/>
      <c r="Y129" s="39"/>
      <c r="AF129" s="39"/>
      <c r="AM129" s="40"/>
      <c r="AT129" s="40"/>
      <c r="BA129" s="41"/>
      <c r="BH129" s="42"/>
      <c r="BO129" s="42"/>
      <c r="BP129" s="43"/>
      <c r="CB129" s="44"/>
      <c r="CC129" s="39"/>
      <c r="CD129" s="39"/>
      <c r="CE129" s="39"/>
      <c r="CF129" s="40"/>
      <c r="CG129" s="40"/>
      <c r="CH129" s="41"/>
      <c r="CI129" s="45"/>
      <c r="CJ129" s="45"/>
      <c r="CK129" s="45"/>
      <c r="CL129" s="45"/>
    </row>
    <row r="130" ht="15.75" customHeight="1">
      <c r="K130" s="38"/>
      <c r="R130" s="39"/>
      <c r="Y130" s="39"/>
      <c r="AF130" s="39"/>
      <c r="AM130" s="40"/>
      <c r="AT130" s="40"/>
      <c r="BA130" s="41"/>
      <c r="BH130" s="42"/>
      <c r="BO130" s="42"/>
      <c r="BP130" s="43"/>
      <c r="CB130" s="44"/>
      <c r="CC130" s="39"/>
      <c r="CD130" s="39"/>
      <c r="CE130" s="39"/>
      <c r="CF130" s="40"/>
      <c r="CG130" s="40"/>
      <c r="CH130" s="41"/>
      <c r="CI130" s="45"/>
      <c r="CJ130" s="45"/>
      <c r="CK130" s="45"/>
      <c r="CL130" s="45"/>
    </row>
    <row r="131" ht="15.75" customHeight="1">
      <c r="K131" s="38"/>
      <c r="R131" s="39"/>
      <c r="Y131" s="39"/>
      <c r="AF131" s="39"/>
      <c r="AM131" s="40"/>
      <c r="AT131" s="40"/>
      <c r="BA131" s="41"/>
      <c r="BH131" s="42"/>
      <c r="BO131" s="42"/>
      <c r="BP131" s="43"/>
      <c r="CB131" s="44"/>
      <c r="CC131" s="39"/>
      <c r="CD131" s="39"/>
      <c r="CE131" s="39"/>
      <c r="CF131" s="40"/>
      <c r="CG131" s="40"/>
      <c r="CH131" s="41"/>
      <c r="CI131" s="45"/>
      <c r="CJ131" s="45"/>
      <c r="CK131" s="45"/>
      <c r="CL131" s="45"/>
    </row>
    <row r="132" ht="15.75" customHeight="1">
      <c r="K132" s="38"/>
      <c r="R132" s="39"/>
      <c r="Y132" s="39"/>
      <c r="AF132" s="39"/>
      <c r="AM132" s="40"/>
      <c r="AT132" s="40"/>
      <c r="BA132" s="41"/>
      <c r="BH132" s="42"/>
      <c r="BO132" s="42"/>
      <c r="BP132" s="43"/>
      <c r="CB132" s="44"/>
      <c r="CC132" s="39"/>
      <c r="CD132" s="39"/>
      <c r="CE132" s="39"/>
      <c r="CF132" s="40"/>
      <c r="CG132" s="40"/>
      <c r="CH132" s="41"/>
      <c r="CI132" s="45"/>
      <c r="CJ132" s="45"/>
      <c r="CK132" s="45"/>
      <c r="CL132" s="45"/>
    </row>
    <row r="133" ht="15.75" customHeight="1">
      <c r="K133" s="38"/>
      <c r="R133" s="39"/>
      <c r="Y133" s="39"/>
      <c r="AF133" s="39"/>
      <c r="AM133" s="40"/>
      <c r="AT133" s="40"/>
      <c r="BA133" s="41"/>
      <c r="BH133" s="42"/>
      <c r="BO133" s="42"/>
      <c r="BP133" s="43"/>
      <c r="CB133" s="44"/>
      <c r="CC133" s="39"/>
      <c r="CD133" s="39"/>
      <c r="CE133" s="39"/>
      <c r="CF133" s="40"/>
      <c r="CG133" s="40"/>
      <c r="CH133" s="41"/>
      <c r="CI133" s="45"/>
      <c r="CJ133" s="45"/>
      <c r="CK133" s="45"/>
      <c r="CL133" s="45"/>
    </row>
    <row r="134" ht="15.75" customHeight="1">
      <c r="K134" s="38"/>
      <c r="R134" s="39"/>
      <c r="Y134" s="39"/>
      <c r="AF134" s="39"/>
      <c r="AM134" s="40"/>
      <c r="AT134" s="40"/>
      <c r="BA134" s="41"/>
      <c r="BH134" s="42"/>
      <c r="BO134" s="42"/>
      <c r="BP134" s="43"/>
      <c r="CB134" s="44"/>
      <c r="CC134" s="39"/>
      <c r="CD134" s="39"/>
      <c r="CE134" s="39"/>
      <c r="CF134" s="40"/>
      <c r="CG134" s="40"/>
      <c r="CH134" s="41"/>
      <c r="CI134" s="45"/>
      <c r="CJ134" s="45"/>
      <c r="CK134" s="45"/>
      <c r="CL134" s="45"/>
    </row>
    <row r="135" ht="15.75" customHeight="1">
      <c r="K135" s="38"/>
      <c r="R135" s="39"/>
      <c r="Y135" s="39"/>
      <c r="AF135" s="39"/>
      <c r="AM135" s="40"/>
      <c r="AT135" s="40"/>
      <c r="BA135" s="41"/>
      <c r="BH135" s="42"/>
      <c r="BO135" s="42"/>
      <c r="BP135" s="43"/>
      <c r="CB135" s="44"/>
      <c r="CC135" s="39"/>
      <c r="CD135" s="39"/>
      <c r="CE135" s="39"/>
      <c r="CF135" s="40"/>
      <c r="CG135" s="40"/>
      <c r="CH135" s="41"/>
      <c r="CI135" s="45"/>
      <c r="CJ135" s="45"/>
      <c r="CK135" s="45"/>
      <c r="CL135" s="45"/>
    </row>
    <row r="136" ht="15.75" customHeight="1">
      <c r="K136" s="38"/>
      <c r="R136" s="39"/>
      <c r="Y136" s="39"/>
      <c r="AF136" s="39"/>
      <c r="AM136" s="40"/>
      <c r="AT136" s="40"/>
      <c r="BA136" s="41"/>
      <c r="BH136" s="42"/>
      <c r="BO136" s="42"/>
      <c r="BP136" s="43"/>
      <c r="CB136" s="44"/>
      <c r="CC136" s="39"/>
      <c r="CD136" s="39"/>
      <c r="CE136" s="39"/>
      <c r="CF136" s="40"/>
      <c r="CG136" s="40"/>
      <c r="CH136" s="41"/>
      <c r="CI136" s="45"/>
      <c r="CJ136" s="45"/>
      <c r="CK136" s="45"/>
      <c r="CL136" s="45"/>
    </row>
    <row r="137" ht="15.75" customHeight="1">
      <c r="K137" s="38"/>
      <c r="R137" s="39"/>
      <c r="Y137" s="39"/>
      <c r="AF137" s="39"/>
      <c r="AM137" s="40"/>
      <c r="AT137" s="40"/>
      <c r="BA137" s="41"/>
      <c r="BH137" s="42"/>
      <c r="BO137" s="42"/>
      <c r="BP137" s="43"/>
      <c r="CB137" s="44"/>
      <c r="CC137" s="39"/>
      <c r="CD137" s="39"/>
      <c r="CE137" s="39"/>
      <c r="CF137" s="40"/>
      <c r="CG137" s="40"/>
      <c r="CH137" s="41"/>
      <c r="CI137" s="45"/>
      <c r="CJ137" s="45"/>
      <c r="CK137" s="45"/>
      <c r="CL137" s="45"/>
    </row>
    <row r="138" ht="15.75" customHeight="1">
      <c r="K138" s="38"/>
      <c r="R138" s="39"/>
      <c r="Y138" s="39"/>
      <c r="AF138" s="39"/>
      <c r="AM138" s="40"/>
      <c r="AT138" s="40"/>
      <c r="BA138" s="41"/>
      <c r="BH138" s="42"/>
      <c r="BO138" s="42"/>
      <c r="BP138" s="43"/>
      <c r="CB138" s="44"/>
      <c r="CC138" s="39"/>
      <c r="CD138" s="39"/>
      <c r="CE138" s="39"/>
      <c r="CF138" s="40"/>
      <c r="CG138" s="40"/>
      <c r="CH138" s="41"/>
      <c r="CI138" s="45"/>
      <c r="CJ138" s="45"/>
      <c r="CK138" s="45"/>
      <c r="CL138" s="45"/>
    </row>
    <row r="139" ht="15.75" customHeight="1">
      <c r="K139" s="38"/>
      <c r="R139" s="39"/>
      <c r="Y139" s="39"/>
      <c r="AF139" s="39"/>
      <c r="AM139" s="40"/>
      <c r="AT139" s="40"/>
      <c r="BA139" s="41"/>
      <c r="BH139" s="42"/>
      <c r="BO139" s="42"/>
      <c r="BP139" s="43"/>
      <c r="CB139" s="44"/>
      <c r="CC139" s="39"/>
      <c r="CD139" s="39"/>
      <c r="CE139" s="39"/>
      <c r="CF139" s="40"/>
      <c r="CG139" s="40"/>
      <c r="CH139" s="41"/>
      <c r="CI139" s="45"/>
      <c r="CJ139" s="45"/>
      <c r="CK139" s="45"/>
      <c r="CL139" s="45"/>
    </row>
    <row r="140" ht="15.75" customHeight="1">
      <c r="K140" s="38"/>
      <c r="R140" s="39"/>
      <c r="Y140" s="39"/>
      <c r="AF140" s="39"/>
      <c r="AM140" s="40"/>
      <c r="AT140" s="40"/>
      <c r="BA140" s="41"/>
      <c r="BH140" s="42"/>
      <c r="BO140" s="42"/>
      <c r="BP140" s="43"/>
      <c r="CB140" s="44"/>
      <c r="CC140" s="39"/>
      <c r="CD140" s="39"/>
      <c r="CE140" s="39"/>
      <c r="CF140" s="40"/>
      <c r="CG140" s="40"/>
      <c r="CH140" s="41"/>
      <c r="CI140" s="45"/>
      <c r="CJ140" s="45"/>
      <c r="CK140" s="45"/>
      <c r="CL140" s="45"/>
    </row>
    <row r="141" ht="15.75" customHeight="1">
      <c r="K141" s="38"/>
      <c r="R141" s="39"/>
      <c r="Y141" s="39"/>
      <c r="AF141" s="39"/>
      <c r="AM141" s="40"/>
      <c r="AT141" s="40"/>
      <c r="BA141" s="41"/>
      <c r="BH141" s="42"/>
      <c r="BO141" s="42"/>
      <c r="BP141" s="43"/>
      <c r="CB141" s="44"/>
      <c r="CC141" s="39"/>
      <c r="CD141" s="39"/>
      <c r="CE141" s="39"/>
      <c r="CF141" s="40"/>
      <c r="CG141" s="40"/>
      <c r="CH141" s="41"/>
      <c r="CI141" s="45"/>
      <c r="CJ141" s="45"/>
      <c r="CK141" s="45"/>
      <c r="CL141" s="45"/>
    </row>
    <row r="142" ht="15.75" customHeight="1">
      <c r="K142" s="38"/>
      <c r="R142" s="39"/>
      <c r="Y142" s="39"/>
      <c r="AF142" s="39"/>
      <c r="AM142" s="40"/>
      <c r="AT142" s="40"/>
      <c r="BA142" s="41"/>
      <c r="BH142" s="42"/>
      <c r="BO142" s="42"/>
      <c r="BP142" s="43"/>
      <c r="CB142" s="44"/>
      <c r="CC142" s="39"/>
      <c r="CD142" s="39"/>
      <c r="CE142" s="39"/>
      <c r="CF142" s="40"/>
      <c r="CG142" s="40"/>
      <c r="CH142" s="41"/>
      <c r="CI142" s="45"/>
      <c r="CJ142" s="45"/>
      <c r="CK142" s="45"/>
      <c r="CL142" s="45"/>
    </row>
    <row r="143" ht="15.75" customHeight="1">
      <c r="K143" s="38"/>
      <c r="R143" s="39"/>
      <c r="Y143" s="39"/>
      <c r="AF143" s="39"/>
      <c r="AM143" s="40"/>
      <c r="AT143" s="40"/>
      <c r="BA143" s="41"/>
      <c r="BH143" s="42"/>
      <c r="BO143" s="42"/>
      <c r="BP143" s="43"/>
      <c r="CB143" s="44"/>
      <c r="CC143" s="39"/>
      <c r="CD143" s="39"/>
      <c r="CE143" s="39"/>
      <c r="CF143" s="40"/>
      <c r="CG143" s="40"/>
      <c r="CH143" s="41"/>
      <c r="CI143" s="45"/>
      <c r="CJ143" s="45"/>
      <c r="CK143" s="45"/>
      <c r="CL143" s="45"/>
    </row>
    <row r="144" ht="15.75" customHeight="1">
      <c r="K144" s="38"/>
      <c r="R144" s="39"/>
      <c r="Y144" s="39"/>
      <c r="AF144" s="39"/>
      <c r="AM144" s="40"/>
      <c r="AT144" s="40"/>
      <c r="BA144" s="41"/>
      <c r="BH144" s="42"/>
      <c r="BO144" s="42"/>
      <c r="BP144" s="43"/>
      <c r="CB144" s="44"/>
      <c r="CC144" s="39"/>
      <c r="CD144" s="39"/>
      <c r="CE144" s="39"/>
      <c r="CF144" s="40"/>
      <c r="CG144" s="40"/>
      <c r="CH144" s="41"/>
      <c r="CI144" s="45"/>
      <c r="CJ144" s="45"/>
      <c r="CK144" s="45"/>
      <c r="CL144" s="45"/>
    </row>
    <row r="145" ht="15.75" customHeight="1">
      <c r="K145" s="38"/>
      <c r="R145" s="39"/>
      <c r="Y145" s="39"/>
      <c r="AF145" s="39"/>
      <c r="AM145" s="40"/>
      <c r="AT145" s="40"/>
      <c r="BA145" s="41"/>
      <c r="BH145" s="42"/>
      <c r="BO145" s="42"/>
      <c r="BP145" s="43"/>
      <c r="CB145" s="44"/>
      <c r="CC145" s="39"/>
      <c r="CD145" s="39"/>
      <c r="CE145" s="39"/>
      <c r="CF145" s="40"/>
      <c r="CG145" s="40"/>
      <c r="CH145" s="41"/>
      <c r="CI145" s="45"/>
      <c r="CJ145" s="45"/>
      <c r="CK145" s="45"/>
      <c r="CL145" s="45"/>
    </row>
    <row r="146" ht="15.75" customHeight="1">
      <c r="K146" s="38"/>
      <c r="R146" s="39"/>
      <c r="Y146" s="39"/>
      <c r="AF146" s="39"/>
      <c r="AM146" s="40"/>
      <c r="AT146" s="40"/>
      <c r="BA146" s="41"/>
      <c r="BH146" s="42"/>
      <c r="BO146" s="42"/>
      <c r="BP146" s="43"/>
      <c r="CB146" s="44"/>
      <c r="CC146" s="39"/>
      <c r="CD146" s="39"/>
      <c r="CE146" s="39"/>
      <c r="CF146" s="40"/>
      <c r="CG146" s="40"/>
      <c r="CH146" s="41"/>
      <c r="CI146" s="45"/>
      <c r="CJ146" s="45"/>
      <c r="CK146" s="45"/>
      <c r="CL146" s="45"/>
    </row>
    <row r="147" ht="15.75" customHeight="1">
      <c r="K147" s="38"/>
      <c r="R147" s="39"/>
      <c r="Y147" s="39"/>
      <c r="AF147" s="39"/>
      <c r="AM147" s="40"/>
      <c r="AT147" s="40"/>
      <c r="BA147" s="41"/>
      <c r="BH147" s="42"/>
      <c r="BO147" s="42"/>
      <c r="BP147" s="43"/>
      <c r="CB147" s="44"/>
      <c r="CC147" s="39"/>
      <c r="CD147" s="39"/>
      <c r="CE147" s="39"/>
      <c r="CF147" s="40"/>
      <c r="CG147" s="40"/>
      <c r="CH147" s="41"/>
      <c r="CI147" s="45"/>
      <c r="CJ147" s="45"/>
      <c r="CK147" s="45"/>
      <c r="CL147" s="45"/>
    </row>
    <row r="148" ht="15.75" customHeight="1">
      <c r="K148" s="38"/>
      <c r="R148" s="39"/>
      <c r="Y148" s="39"/>
      <c r="AF148" s="39"/>
      <c r="AM148" s="40"/>
      <c r="AT148" s="40"/>
      <c r="BA148" s="41"/>
      <c r="BH148" s="42"/>
      <c r="BO148" s="42"/>
      <c r="BP148" s="43"/>
      <c r="CB148" s="44"/>
      <c r="CC148" s="39"/>
      <c r="CD148" s="39"/>
      <c r="CE148" s="39"/>
      <c r="CF148" s="40"/>
      <c r="CG148" s="40"/>
      <c r="CH148" s="41"/>
      <c r="CI148" s="45"/>
      <c r="CJ148" s="45"/>
      <c r="CK148" s="45"/>
      <c r="CL148" s="45"/>
    </row>
    <row r="149" ht="15.75" customHeight="1">
      <c r="K149" s="38"/>
      <c r="R149" s="39"/>
      <c r="Y149" s="39"/>
      <c r="AF149" s="39"/>
      <c r="AM149" s="40"/>
      <c r="AT149" s="40"/>
      <c r="BA149" s="41"/>
      <c r="BH149" s="42"/>
      <c r="BO149" s="42"/>
      <c r="BP149" s="43"/>
      <c r="CB149" s="44"/>
      <c r="CC149" s="39"/>
      <c r="CD149" s="39"/>
      <c r="CE149" s="39"/>
      <c r="CF149" s="40"/>
      <c r="CG149" s="40"/>
      <c r="CH149" s="41"/>
      <c r="CI149" s="45"/>
      <c r="CJ149" s="45"/>
      <c r="CK149" s="45"/>
      <c r="CL149" s="45"/>
    </row>
    <row r="150" ht="15.75" customHeight="1">
      <c r="K150" s="38"/>
      <c r="R150" s="39"/>
      <c r="Y150" s="39"/>
      <c r="AF150" s="39"/>
      <c r="AM150" s="40"/>
      <c r="AT150" s="40"/>
      <c r="BA150" s="41"/>
      <c r="BH150" s="42"/>
      <c r="BO150" s="42"/>
      <c r="BP150" s="43"/>
      <c r="CB150" s="44"/>
      <c r="CC150" s="39"/>
      <c r="CD150" s="39"/>
      <c r="CE150" s="39"/>
      <c r="CF150" s="40"/>
      <c r="CG150" s="40"/>
      <c r="CH150" s="41"/>
      <c r="CI150" s="45"/>
      <c r="CJ150" s="45"/>
      <c r="CK150" s="45"/>
      <c r="CL150" s="45"/>
    </row>
    <row r="151" ht="15.75" customHeight="1">
      <c r="K151" s="38"/>
      <c r="R151" s="39"/>
      <c r="Y151" s="39"/>
      <c r="AF151" s="39"/>
      <c r="AM151" s="40"/>
      <c r="AT151" s="40"/>
      <c r="BA151" s="41"/>
      <c r="BH151" s="42"/>
      <c r="BO151" s="42"/>
      <c r="BP151" s="43"/>
      <c r="CB151" s="44"/>
      <c r="CC151" s="39"/>
      <c r="CD151" s="39"/>
      <c r="CE151" s="39"/>
      <c r="CF151" s="40"/>
      <c r="CG151" s="40"/>
      <c r="CH151" s="41"/>
      <c r="CI151" s="45"/>
      <c r="CJ151" s="45"/>
      <c r="CK151" s="45"/>
      <c r="CL151" s="45"/>
    </row>
    <row r="152" ht="15.75" customHeight="1">
      <c r="K152" s="38"/>
      <c r="R152" s="39"/>
      <c r="Y152" s="39"/>
      <c r="AF152" s="39"/>
      <c r="AM152" s="40"/>
      <c r="AT152" s="40"/>
      <c r="BA152" s="41"/>
      <c r="BH152" s="42"/>
      <c r="BO152" s="42"/>
      <c r="BP152" s="43"/>
      <c r="CB152" s="44"/>
      <c r="CC152" s="39"/>
      <c r="CD152" s="39"/>
      <c r="CE152" s="39"/>
      <c r="CF152" s="40"/>
      <c r="CG152" s="40"/>
      <c r="CH152" s="41"/>
      <c r="CI152" s="45"/>
      <c r="CJ152" s="45"/>
      <c r="CK152" s="45"/>
      <c r="CL152" s="45"/>
    </row>
    <row r="153" ht="15.75" customHeight="1">
      <c r="K153" s="38"/>
      <c r="R153" s="39"/>
      <c r="Y153" s="39"/>
      <c r="AF153" s="39"/>
      <c r="AM153" s="40"/>
      <c r="AT153" s="40"/>
      <c r="BA153" s="41"/>
      <c r="BH153" s="42"/>
      <c r="BO153" s="42"/>
      <c r="BP153" s="43"/>
      <c r="CB153" s="44"/>
      <c r="CC153" s="39"/>
      <c r="CD153" s="39"/>
      <c r="CE153" s="39"/>
      <c r="CF153" s="40"/>
      <c r="CG153" s="40"/>
      <c r="CH153" s="41"/>
      <c r="CI153" s="45"/>
      <c r="CJ153" s="45"/>
      <c r="CK153" s="45"/>
      <c r="CL153" s="45"/>
    </row>
    <row r="154" ht="15.75" customHeight="1">
      <c r="K154" s="38"/>
      <c r="R154" s="39"/>
      <c r="Y154" s="39"/>
      <c r="AF154" s="39"/>
      <c r="AM154" s="40"/>
      <c r="AT154" s="40"/>
      <c r="BA154" s="41"/>
      <c r="BH154" s="42"/>
      <c r="BO154" s="42"/>
      <c r="BP154" s="43"/>
      <c r="CB154" s="44"/>
      <c r="CC154" s="39"/>
      <c r="CD154" s="39"/>
      <c r="CE154" s="39"/>
      <c r="CF154" s="40"/>
      <c r="CG154" s="40"/>
      <c r="CH154" s="41"/>
      <c r="CI154" s="45"/>
      <c r="CJ154" s="45"/>
      <c r="CK154" s="45"/>
      <c r="CL154" s="45"/>
    </row>
    <row r="155" ht="15.75" customHeight="1">
      <c r="K155" s="38"/>
      <c r="R155" s="39"/>
      <c r="Y155" s="39"/>
      <c r="AF155" s="39"/>
      <c r="AM155" s="40"/>
      <c r="AT155" s="40"/>
      <c r="BA155" s="41"/>
      <c r="BH155" s="42"/>
      <c r="BO155" s="42"/>
      <c r="BP155" s="43"/>
      <c r="CB155" s="44"/>
      <c r="CC155" s="39"/>
      <c r="CD155" s="39"/>
      <c r="CE155" s="39"/>
      <c r="CF155" s="40"/>
      <c r="CG155" s="40"/>
      <c r="CH155" s="41"/>
      <c r="CI155" s="45"/>
      <c r="CJ155" s="45"/>
      <c r="CK155" s="45"/>
      <c r="CL155" s="45"/>
    </row>
    <row r="156" ht="15.75" customHeight="1">
      <c r="K156" s="38"/>
      <c r="R156" s="39"/>
      <c r="Y156" s="39"/>
      <c r="AF156" s="39"/>
      <c r="AM156" s="40"/>
      <c r="AT156" s="40"/>
      <c r="BA156" s="41"/>
      <c r="BH156" s="42"/>
      <c r="BO156" s="42"/>
      <c r="BP156" s="43"/>
      <c r="CB156" s="44"/>
      <c r="CC156" s="39"/>
      <c r="CD156" s="39"/>
      <c r="CE156" s="39"/>
      <c r="CF156" s="40"/>
      <c r="CG156" s="40"/>
      <c r="CH156" s="41"/>
      <c r="CI156" s="45"/>
      <c r="CJ156" s="45"/>
      <c r="CK156" s="45"/>
      <c r="CL156" s="45"/>
    </row>
    <row r="157" ht="15.75" customHeight="1">
      <c r="K157" s="38"/>
      <c r="R157" s="39"/>
      <c r="Y157" s="39"/>
      <c r="AF157" s="39"/>
      <c r="AM157" s="40"/>
      <c r="AT157" s="40"/>
      <c r="BA157" s="41"/>
      <c r="BH157" s="42"/>
      <c r="BO157" s="42"/>
      <c r="BP157" s="43"/>
      <c r="CB157" s="44"/>
      <c r="CC157" s="39"/>
      <c r="CD157" s="39"/>
      <c r="CE157" s="39"/>
      <c r="CF157" s="40"/>
      <c r="CG157" s="40"/>
      <c r="CH157" s="41"/>
      <c r="CI157" s="45"/>
      <c r="CJ157" s="45"/>
      <c r="CK157" s="45"/>
      <c r="CL157" s="45"/>
    </row>
    <row r="158" ht="15.75" customHeight="1">
      <c r="K158" s="38"/>
      <c r="R158" s="39"/>
      <c r="Y158" s="39"/>
      <c r="AF158" s="39"/>
      <c r="AM158" s="40"/>
      <c r="AT158" s="40"/>
      <c r="BA158" s="41"/>
      <c r="BH158" s="42"/>
      <c r="BO158" s="42"/>
      <c r="BP158" s="43"/>
      <c r="CB158" s="44"/>
      <c r="CC158" s="39"/>
      <c r="CD158" s="39"/>
      <c r="CE158" s="39"/>
      <c r="CF158" s="40"/>
      <c r="CG158" s="40"/>
      <c r="CH158" s="41"/>
      <c r="CI158" s="45"/>
      <c r="CJ158" s="45"/>
      <c r="CK158" s="45"/>
      <c r="CL158" s="45"/>
    </row>
    <row r="159" ht="15.75" customHeight="1">
      <c r="K159" s="38"/>
      <c r="R159" s="39"/>
      <c r="Y159" s="39"/>
      <c r="AF159" s="39"/>
      <c r="AM159" s="40"/>
      <c r="AT159" s="40"/>
      <c r="BA159" s="41"/>
      <c r="BH159" s="42"/>
      <c r="BO159" s="42"/>
      <c r="BP159" s="43"/>
      <c r="CB159" s="44"/>
      <c r="CC159" s="39"/>
      <c r="CD159" s="39"/>
      <c r="CE159" s="39"/>
      <c r="CF159" s="40"/>
      <c r="CG159" s="40"/>
      <c r="CH159" s="41"/>
      <c r="CI159" s="45"/>
      <c r="CJ159" s="45"/>
      <c r="CK159" s="45"/>
      <c r="CL159" s="45"/>
    </row>
    <row r="160" ht="15.75" customHeight="1">
      <c r="K160" s="38"/>
      <c r="R160" s="39"/>
      <c r="Y160" s="39"/>
      <c r="AF160" s="39"/>
      <c r="AM160" s="40"/>
      <c r="AT160" s="40"/>
      <c r="BA160" s="41"/>
      <c r="BH160" s="42"/>
      <c r="BO160" s="42"/>
      <c r="BP160" s="43"/>
      <c r="CB160" s="44"/>
      <c r="CC160" s="39"/>
      <c r="CD160" s="39"/>
      <c r="CE160" s="39"/>
      <c r="CF160" s="40"/>
      <c r="CG160" s="40"/>
      <c r="CH160" s="41"/>
      <c r="CI160" s="45"/>
      <c r="CJ160" s="45"/>
      <c r="CK160" s="45"/>
      <c r="CL160" s="45"/>
    </row>
    <row r="161" ht="15.75" customHeight="1">
      <c r="K161" s="38"/>
      <c r="R161" s="39"/>
      <c r="Y161" s="39"/>
      <c r="AF161" s="39"/>
      <c r="AM161" s="40"/>
      <c r="AT161" s="40"/>
      <c r="BA161" s="41"/>
      <c r="BH161" s="42"/>
      <c r="BO161" s="42"/>
      <c r="BP161" s="43"/>
      <c r="CB161" s="44"/>
      <c r="CC161" s="39"/>
      <c r="CD161" s="39"/>
      <c r="CE161" s="39"/>
      <c r="CF161" s="40"/>
      <c r="CG161" s="40"/>
      <c r="CH161" s="41"/>
      <c r="CI161" s="45"/>
      <c r="CJ161" s="45"/>
      <c r="CK161" s="45"/>
      <c r="CL161" s="45"/>
    </row>
    <row r="162" ht="15.75" customHeight="1">
      <c r="K162" s="38"/>
      <c r="R162" s="39"/>
      <c r="Y162" s="39"/>
      <c r="AF162" s="39"/>
      <c r="AM162" s="40"/>
      <c r="AT162" s="40"/>
      <c r="BA162" s="41"/>
      <c r="BH162" s="42"/>
      <c r="BO162" s="42"/>
      <c r="BP162" s="43"/>
      <c r="CB162" s="44"/>
      <c r="CC162" s="39"/>
      <c r="CD162" s="39"/>
      <c r="CE162" s="39"/>
      <c r="CF162" s="40"/>
      <c r="CG162" s="40"/>
      <c r="CH162" s="41"/>
      <c r="CI162" s="45"/>
      <c r="CJ162" s="45"/>
      <c r="CK162" s="45"/>
      <c r="CL162" s="45"/>
    </row>
    <row r="163" ht="15.75" customHeight="1">
      <c r="K163" s="38"/>
      <c r="R163" s="39"/>
      <c r="Y163" s="39"/>
      <c r="AF163" s="39"/>
      <c r="AM163" s="40"/>
      <c r="AT163" s="40"/>
      <c r="BA163" s="41"/>
      <c r="BH163" s="42"/>
      <c r="BO163" s="42"/>
      <c r="BP163" s="43"/>
      <c r="CB163" s="44"/>
      <c r="CC163" s="39"/>
      <c r="CD163" s="39"/>
      <c r="CE163" s="39"/>
      <c r="CF163" s="40"/>
      <c r="CG163" s="40"/>
      <c r="CH163" s="41"/>
      <c r="CI163" s="45"/>
      <c r="CJ163" s="45"/>
      <c r="CK163" s="45"/>
      <c r="CL163" s="45"/>
    </row>
    <row r="164" ht="15.75" customHeight="1">
      <c r="K164" s="38"/>
      <c r="R164" s="39"/>
      <c r="Y164" s="39"/>
      <c r="AF164" s="39"/>
      <c r="AM164" s="40"/>
      <c r="AT164" s="40"/>
      <c r="BA164" s="41"/>
      <c r="BH164" s="42"/>
      <c r="BO164" s="42"/>
      <c r="BP164" s="43"/>
      <c r="CB164" s="44"/>
      <c r="CC164" s="39"/>
      <c r="CD164" s="39"/>
      <c r="CE164" s="39"/>
      <c r="CF164" s="40"/>
      <c r="CG164" s="40"/>
      <c r="CH164" s="41"/>
      <c r="CI164" s="45"/>
      <c r="CJ164" s="45"/>
      <c r="CK164" s="45"/>
      <c r="CL164" s="45"/>
    </row>
    <row r="165" ht="15.75" customHeight="1">
      <c r="K165" s="38"/>
      <c r="R165" s="39"/>
      <c r="Y165" s="39"/>
      <c r="AF165" s="39"/>
      <c r="AM165" s="40"/>
      <c r="AT165" s="40"/>
      <c r="BA165" s="41"/>
      <c r="BH165" s="42"/>
      <c r="BO165" s="42"/>
      <c r="BP165" s="43"/>
      <c r="CB165" s="44"/>
      <c r="CC165" s="39"/>
      <c r="CD165" s="39"/>
      <c r="CE165" s="39"/>
      <c r="CF165" s="40"/>
      <c r="CG165" s="40"/>
      <c r="CH165" s="41"/>
      <c r="CI165" s="45"/>
      <c r="CJ165" s="45"/>
      <c r="CK165" s="45"/>
      <c r="CL165" s="45"/>
    </row>
    <row r="166" ht="15.75" customHeight="1">
      <c r="K166" s="38"/>
      <c r="R166" s="39"/>
      <c r="Y166" s="39"/>
      <c r="AF166" s="39"/>
      <c r="AM166" s="40"/>
      <c r="AT166" s="40"/>
      <c r="BA166" s="41"/>
      <c r="BH166" s="42"/>
      <c r="BO166" s="42"/>
      <c r="BP166" s="43"/>
      <c r="CB166" s="44"/>
      <c r="CC166" s="39"/>
      <c r="CD166" s="39"/>
      <c r="CE166" s="39"/>
      <c r="CF166" s="40"/>
      <c r="CG166" s="40"/>
      <c r="CH166" s="41"/>
      <c r="CI166" s="45"/>
      <c r="CJ166" s="45"/>
      <c r="CK166" s="45"/>
      <c r="CL166" s="45"/>
    </row>
    <row r="167" ht="15.75" customHeight="1">
      <c r="K167" s="38"/>
      <c r="R167" s="39"/>
      <c r="Y167" s="39"/>
      <c r="AF167" s="39"/>
      <c r="AM167" s="40"/>
      <c r="AT167" s="40"/>
      <c r="BA167" s="41"/>
      <c r="BH167" s="42"/>
      <c r="BO167" s="42"/>
      <c r="BP167" s="43"/>
      <c r="CB167" s="44"/>
      <c r="CC167" s="39"/>
      <c r="CD167" s="39"/>
      <c r="CE167" s="39"/>
      <c r="CF167" s="40"/>
      <c r="CG167" s="40"/>
      <c r="CH167" s="41"/>
      <c r="CI167" s="45"/>
      <c r="CJ167" s="45"/>
      <c r="CK167" s="45"/>
      <c r="CL167" s="45"/>
    </row>
    <row r="168" ht="15.75" customHeight="1">
      <c r="K168" s="38"/>
      <c r="R168" s="39"/>
      <c r="Y168" s="39"/>
      <c r="AF168" s="39"/>
      <c r="AM168" s="40"/>
      <c r="AT168" s="40"/>
      <c r="BA168" s="41"/>
      <c r="BH168" s="42"/>
      <c r="BO168" s="42"/>
      <c r="BP168" s="43"/>
      <c r="CB168" s="44"/>
      <c r="CC168" s="39"/>
      <c r="CD168" s="39"/>
      <c r="CE168" s="39"/>
      <c r="CF168" s="40"/>
      <c r="CG168" s="40"/>
      <c r="CH168" s="41"/>
      <c r="CI168" s="45"/>
      <c r="CJ168" s="45"/>
      <c r="CK168" s="45"/>
      <c r="CL168" s="45"/>
    </row>
    <row r="169" ht="15.75" customHeight="1">
      <c r="K169" s="38"/>
      <c r="R169" s="39"/>
      <c r="Y169" s="39"/>
      <c r="AF169" s="39"/>
      <c r="AM169" s="40"/>
      <c r="AT169" s="40"/>
      <c r="BA169" s="41"/>
      <c r="BH169" s="42"/>
      <c r="BO169" s="42"/>
      <c r="BP169" s="43"/>
      <c r="CB169" s="44"/>
      <c r="CC169" s="39"/>
      <c r="CD169" s="39"/>
      <c r="CE169" s="39"/>
      <c r="CF169" s="40"/>
      <c r="CG169" s="40"/>
      <c r="CH169" s="41"/>
      <c r="CI169" s="45"/>
      <c r="CJ169" s="45"/>
      <c r="CK169" s="45"/>
      <c r="CL169" s="45"/>
    </row>
    <row r="170" ht="15.75" customHeight="1">
      <c r="K170" s="38"/>
      <c r="R170" s="39"/>
      <c r="Y170" s="39"/>
      <c r="AF170" s="39"/>
      <c r="AM170" s="40"/>
      <c r="AT170" s="40"/>
      <c r="BA170" s="41"/>
      <c r="BH170" s="42"/>
      <c r="BO170" s="42"/>
      <c r="BP170" s="43"/>
      <c r="CB170" s="44"/>
      <c r="CC170" s="39"/>
      <c r="CD170" s="39"/>
      <c r="CE170" s="39"/>
      <c r="CF170" s="40"/>
      <c r="CG170" s="40"/>
      <c r="CH170" s="41"/>
      <c r="CI170" s="45"/>
      <c r="CJ170" s="45"/>
      <c r="CK170" s="45"/>
      <c r="CL170" s="45"/>
    </row>
    <row r="171" ht="15.75" customHeight="1">
      <c r="K171" s="38"/>
      <c r="R171" s="39"/>
      <c r="Y171" s="39"/>
      <c r="AF171" s="39"/>
      <c r="AM171" s="40"/>
      <c r="AT171" s="40"/>
      <c r="BA171" s="41"/>
      <c r="BH171" s="42"/>
      <c r="BO171" s="42"/>
      <c r="BP171" s="43"/>
      <c r="CB171" s="44"/>
      <c r="CC171" s="39"/>
      <c r="CD171" s="39"/>
      <c r="CE171" s="39"/>
      <c r="CF171" s="40"/>
      <c r="CG171" s="40"/>
      <c r="CH171" s="41"/>
      <c r="CI171" s="45"/>
      <c r="CJ171" s="45"/>
      <c r="CK171" s="45"/>
      <c r="CL171" s="45"/>
    </row>
    <row r="172" ht="15.75" customHeight="1">
      <c r="K172" s="38"/>
      <c r="R172" s="39"/>
      <c r="Y172" s="39"/>
      <c r="AF172" s="39"/>
      <c r="AM172" s="40"/>
      <c r="AT172" s="40"/>
      <c r="BA172" s="41"/>
      <c r="BH172" s="42"/>
      <c r="BO172" s="42"/>
      <c r="BP172" s="43"/>
      <c r="CB172" s="44"/>
      <c r="CC172" s="39"/>
      <c r="CD172" s="39"/>
      <c r="CE172" s="39"/>
      <c r="CF172" s="40"/>
      <c r="CG172" s="40"/>
      <c r="CH172" s="41"/>
      <c r="CI172" s="45"/>
      <c r="CJ172" s="45"/>
      <c r="CK172" s="45"/>
      <c r="CL172" s="45"/>
    </row>
    <row r="173" ht="15.75" customHeight="1">
      <c r="K173" s="38"/>
      <c r="R173" s="39"/>
      <c r="Y173" s="39"/>
      <c r="AF173" s="39"/>
      <c r="AM173" s="40"/>
      <c r="AT173" s="40"/>
      <c r="BA173" s="41"/>
      <c r="BH173" s="42"/>
      <c r="BO173" s="42"/>
      <c r="BP173" s="43"/>
      <c r="CB173" s="44"/>
      <c r="CC173" s="39"/>
      <c r="CD173" s="39"/>
      <c r="CE173" s="39"/>
      <c r="CF173" s="40"/>
      <c r="CG173" s="40"/>
      <c r="CH173" s="41"/>
      <c r="CI173" s="45"/>
      <c r="CJ173" s="45"/>
      <c r="CK173" s="45"/>
      <c r="CL173" s="45"/>
    </row>
    <row r="174" ht="15.75" customHeight="1">
      <c r="K174" s="38"/>
      <c r="R174" s="39"/>
      <c r="Y174" s="39"/>
      <c r="AF174" s="39"/>
      <c r="AM174" s="40"/>
      <c r="AT174" s="40"/>
      <c r="BA174" s="41"/>
      <c r="BH174" s="42"/>
      <c r="BO174" s="42"/>
      <c r="BP174" s="43"/>
      <c r="CB174" s="44"/>
      <c r="CC174" s="39"/>
      <c r="CD174" s="39"/>
      <c r="CE174" s="39"/>
      <c r="CF174" s="40"/>
      <c r="CG174" s="40"/>
      <c r="CH174" s="41"/>
      <c r="CI174" s="45"/>
      <c r="CJ174" s="45"/>
      <c r="CK174" s="45"/>
      <c r="CL174" s="45"/>
    </row>
    <row r="175" ht="15.75" customHeight="1">
      <c r="K175" s="38"/>
      <c r="R175" s="39"/>
      <c r="Y175" s="39"/>
      <c r="AF175" s="39"/>
      <c r="AM175" s="40"/>
      <c r="AT175" s="40"/>
      <c r="BA175" s="41"/>
      <c r="BH175" s="42"/>
      <c r="BO175" s="42"/>
      <c r="BP175" s="43"/>
      <c r="CB175" s="44"/>
      <c r="CC175" s="39"/>
      <c r="CD175" s="39"/>
      <c r="CE175" s="39"/>
      <c r="CF175" s="40"/>
      <c r="CG175" s="40"/>
      <c r="CH175" s="41"/>
      <c r="CI175" s="45"/>
      <c r="CJ175" s="45"/>
      <c r="CK175" s="45"/>
      <c r="CL175" s="45"/>
    </row>
    <row r="176" ht="15.75" customHeight="1">
      <c r="K176" s="38"/>
      <c r="R176" s="39"/>
      <c r="Y176" s="39"/>
      <c r="AF176" s="39"/>
      <c r="AM176" s="40"/>
      <c r="AT176" s="40"/>
      <c r="BA176" s="41"/>
      <c r="BH176" s="42"/>
      <c r="BO176" s="42"/>
      <c r="BP176" s="43"/>
      <c r="CB176" s="44"/>
      <c r="CC176" s="39"/>
      <c r="CD176" s="39"/>
      <c r="CE176" s="39"/>
      <c r="CF176" s="40"/>
      <c r="CG176" s="40"/>
      <c r="CH176" s="41"/>
      <c r="CI176" s="45"/>
      <c r="CJ176" s="45"/>
      <c r="CK176" s="45"/>
      <c r="CL176" s="45"/>
    </row>
    <row r="177" ht="15.75" customHeight="1">
      <c r="K177" s="38"/>
      <c r="R177" s="39"/>
      <c r="Y177" s="39"/>
      <c r="AF177" s="39"/>
      <c r="AM177" s="40"/>
      <c r="AT177" s="40"/>
      <c r="BA177" s="41"/>
      <c r="BH177" s="42"/>
      <c r="BO177" s="42"/>
      <c r="BP177" s="43"/>
      <c r="CB177" s="44"/>
      <c r="CC177" s="39"/>
      <c r="CD177" s="39"/>
      <c r="CE177" s="39"/>
      <c r="CF177" s="40"/>
      <c r="CG177" s="40"/>
      <c r="CH177" s="41"/>
      <c r="CI177" s="45"/>
      <c r="CJ177" s="45"/>
      <c r="CK177" s="45"/>
      <c r="CL177" s="45"/>
    </row>
    <row r="178" ht="15.75" customHeight="1">
      <c r="K178" s="38"/>
      <c r="R178" s="39"/>
      <c r="Y178" s="39"/>
      <c r="AF178" s="39"/>
      <c r="AM178" s="40"/>
      <c r="AT178" s="40"/>
      <c r="BA178" s="41"/>
      <c r="BH178" s="42"/>
      <c r="BO178" s="42"/>
      <c r="BP178" s="43"/>
      <c r="CB178" s="44"/>
      <c r="CC178" s="39"/>
      <c r="CD178" s="39"/>
      <c r="CE178" s="39"/>
      <c r="CF178" s="40"/>
      <c r="CG178" s="40"/>
      <c r="CH178" s="41"/>
      <c r="CI178" s="45"/>
      <c r="CJ178" s="45"/>
      <c r="CK178" s="45"/>
      <c r="CL178" s="45"/>
    </row>
    <row r="179" ht="15.75" customHeight="1">
      <c r="K179" s="38"/>
      <c r="R179" s="39"/>
      <c r="Y179" s="39"/>
      <c r="AF179" s="39"/>
      <c r="AM179" s="40"/>
      <c r="AT179" s="40"/>
      <c r="BA179" s="41"/>
      <c r="BH179" s="42"/>
      <c r="BO179" s="42"/>
      <c r="BP179" s="43"/>
      <c r="CB179" s="44"/>
      <c r="CC179" s="39"/>
      <c r="CD179" s="39"/>
      <c r="CE179" s="39"/>
      <c r="CF179" s="40"/>
      <c r="CG179" s="40"/>
      <c r="CH179" s="41"/>
      <c r="CI179" s="45"/>
      <c r="CJ179" s="45"/>
      <c r="CK179" s="45"/>
      <c r="CL179" s="45"/>
    </row>
    <row r="180" ht="15.75" customHeight="1">
      <c r="K180" s="38"/>
      <c r="R180" s="39"/>
      <c r="Y180" s="39"/>
      <c r="AF180" s="39"/>
      <c r="AM180" s="40"/>
      <c r="AT180" s="40"/>
      <c r="BA180" s="41"/>
      <c r="BH180" s="42"/>
      <c r="BO180" s="42"/>
      <c r="BP180" s="43"/>
      <c r="CB180" s="44"/>
      <c r="CC180" s="39"/>
      <c r="CD180" s="39"/>
      <c r="CE180" s="39"/>
      <c r="CF180" s="40"/>
      <c r="CG180" s="40"/>
      <c r="CH180" s="41"/>
      <c r="CI180" s="45"/>
      <c r="CJ180" s="45"/>
      <c r="CK180" s="45"/>
      <c r="CL180" s="45"/>
    </row>
    <row r="181" ht="15.75" customHeight="1">
      <c r="K181" s="38"/>
      <c r="R181" s="39"/>
      <c r="Y181" s="39"/>
      <c r="AF181" s="39"/>
      <c r="AM181" s="40"/>
      <c r="AT181" s="40"/>
      <c r="BA181" s="41"/>
      <c r="BH181" s="42"/>
      <c r="BO181" s="42"/>
      <c r="BP181" s="43"/>
      <c r="CB181" s="44"/>
      <c r="CC181" s="39"/>
      <c r="CD181" s="39"/>
      <c r="CE181" s="39"/>
      <c r="CF181" s="40"/>
      <c r="CG181" s="40"/>
      <c r="CH181" s="41"/>
      <c r="CI181" s="45"/>
      <c r="CJ181" s="45"/>
      <c r="CK181" s="45"/>
      <c r="CL181" s="45"/>
    </row>
    <row r="182" ht="15.75" customHeight="1">
      <c r="K182" s="38"/>
      <c r="R182" s="39"/>
      <c r="Y182" s="39"/>
      <c r="AF182" s="39"/>
      <c r="AM182" s="40"/>
      <c r="AT182" s="40"/>
      <c r="BA182" s="41"/>
      <c r="BH182" s="42"/>
      <c r="BO182" s="42"/>
      <c r="BP182" s="43"/>
      <c r="CB182" s="44"/>
      <c r="CC182" s="39"/>
      <c r="CD182" s="39"/>
      <c r="CE182" s="39"/>
      <c r="CF182" s="40"/>
      <c r="CG182" s="40"/>
      <c r="CH182" s="41"/>
      <c r="CI182" s="45"/>
      <c r="CJ182" s="45"/>
      <c r="CK182" s="45"/>
      <c r="CL182" s="45"/>
    </row>
    <row r="183" ht="15.75" customHeight="1">
      <c r="K183" s="38"/>
      <c r="R183" s="39"/>
      <c r="Y183" s="39"/>
      <c r="AF183" s="39"/>
      <c r="AM183" s="40"/>
      <c r="AT183" s="40"/>
      <c r="BA183" s="41"/>
      <c r="BH183" s="42"/>
      <c r="BO183" s="42"/>
      <c r="BP183" s="43"/>
      <c r="CB183" s="44"/>
      <c r="CC183" s="39"/>
      <c r="CD183" s="39"/>
      <c r="CE183" s="39"/>
      <c r="CF183" s="40"/>
      <c r="CG183" s="40"/>
      <c r="CH183" s="41"/>
      <c r="CI183" s="45"/>
      <c r="CJ183" s="45"/>
      <c r="CK183" s="45"/>
      <c r="CL183" s="45"/>
    </row>
    <row r="184" ht="15.75" customHeight="1">
      <c r="K184" s="38"/>
      <c r="R184" s="39"/>
      <c r="Y184" s="39"/>
      <c r="AF184" s="39"/>
      <c r="AM184" s="40"/>
      <c r="AT184" s="40"/>
      <c r="BA184" s="41"/>
      <c r="BH184" s="42"/>
      <c r="BO184" s="42"/>
      <c r="BP184" s="43"/>
      <c r="CB184" s="44"/>
      <c r="CC184" s="39"/>
      <c r="CD184" s="39"/>
      <c r="CE184" s="39"/>
      <c r="CF184" s="40"/>
      <c r="CG184" s="40"/>
      <c r="CH184" s="41"/>
      <c r="CI184" s="45"/>
      <c r="CJ184" s="45"/>
      <c r="CK184" s="45"/>
      <c r="CL184" s="45"/>
    </row>
    <row r="185" ht="15.75" customHeight="1">
      <c r="K185" s="38"/>
      <c r="R185" s="39"/>
      <c r="Y185" s="39"/>
      <c r="AF185" s="39"/>
      <c r="AM185" s="40"/>
      <c r="AT185" s="40"/>
      <c r="BA185" s="41"/>
      <c r="BH185" s="42"/>
      <c r="BO185" s="42"/>
      <c r="BP185" s="43"/>
      <c r="CB185" s="44"/>
      <c r="CC185" s="39"/>
      <c r="CD185" s="39"/>
      <c r="CE185" s="39"/>
      <c r="CF185" s="40"/>
      <c r="CG185" s="40"/>
      <c r="CH185" s="41"/>
      <c r="CI185" s="45"/>
      <c r="CJ185" s="45"/>
      <c r="CK185" s="45"/>
      <c r="CL185" s="45"/>
    </row>
    <row r="186" ht="15.75" customHeight="1">
      <c r="K186" s="38"/>
      <c r="R186" s="39"/>
      <c r="Y186" s="39"/>
      <c r="AF186" s="39"/>
      <c r="AM186" s="40"/>
      <c r="AT186" s="40"/>
      <c r="BA186" s="41"/>
      <c r="BH186" s="42"/>
      <c r="BO186" s="42"/>
      <c r="BP186" s="43"/>
      <c r="CB186" s="44"/>
      <c r="CC186" s="39"/>
      <c r="CD186" s="39"/>
      <c r="CE186" s="39"/>
      <c r="CF186" s="40"/>
      <c r="CG186" s="40"/>
      <c r="CH186" s="41"/>
      <c r="CI186" s="45"/>
      <c r="CJ186" s="45"/>
      <c r="CK186" s="45"/>
      <c r="CL186" s="45"/>
    </row>
    <row r="187" ht="15.75" customHeight="1">
      <c r="K187" s="38"/>
      <c r="R187" s="39"/>
      <c r="Y187" s="39"/>
      <c r="AF187" s="39"/>
      <c r="AM187" s="40"/>
      <c r="AT187" s="40"/>
      <c r="BA187" s="41"/>
      <c r="BH187" s="42"/>
      <c r="BO187" s="42"/>
      <c r="BP187" s="43"/>
      <c r="CB187" s="44"/>
      <c r="CC187" s="39"/>
      <c r="CD187" s="39"/>
      <c r="CE187" s="39"/>
      <c r="CF187" s="40"/>
      <c r="CG187" s="40"/>
      <c r="CH187" s="41"/>
      <c r="CI187" s="45"/>
      <c r="CJ187" s="45"/>
      <c r="CK187" s="45"/>
      <c r="CL187" s="45"/>
    </row>
    <row r="188" ht="15.75" customHeight="1">
      <c r="K188" s="38"/>
      <c r="R188" s="39"/>
      <c r="Y188" s="39"/>
      <c r="AF188" s="39"/>
      <c r="AM188" s="40"/>
      <c r="AT188" s="40"/>
      <c r="BA188" s="41"/>
      <c r="BH188" s="42"/>
      <c r="BO188" s="42"/>
      <c r="BP188" s="43"/>
      <c r="CB188" s="44"/>
      <c r="CC188" s="39"/>
      <c r="CD188" s="39"/>
      <c r="CE188" s="39"/>
      <c r="CF188" s="40"/>
      <c r="CG188" s="40"/>
      <c r="CH188" s="41"/>
      <c r="CI188" s="45"/>
      <c r="CJ188" s="45"/>
      <c r="CK188" s="45"/>
      <c r="CL188" s="45"/>
    </row>
    <row r="189" ht="15.75" customHeight="1">
      <c r="K189" s="38"/>
      <c r="R189" s="39"/>
      <c r="Y189" s="39"/>
      <c r="AF189" s="39"/>
      <c r="AM189" s="40"/>
      <c r="AT189" s="40"/>
      <c r="BA189" s="41"/>
      <c r="BH189" s="42"/>
      <c r="BO189" s="42"/>
      <c r="BP189" s="43"/>
      <c r="CB189" s="44"/>
      <c r="CC189" s="39"/>
      <c r="CD189" s="39"/>
      <c r="CE189" s="39"/>
      <c r="CF189" s="40"/>
      <c r="CG189" s="40"/>
      <c r="CH189" s="41"/>
      <c r="CI189" s="45"/>
      <c r="CJ189" s="45"/>
      <c r="CK189" s="45"/>
      <c r="CL189" s="45"/>
    </row>
    <row r="190" ht="15.75" customHeight="1">
      <c r="K190" s="38"/>
      <c r="R190" s="39"/>
      <c r="Y190" s="39"/>
      <c r="AF190" s="39"/>
      <c r="AM190" s="40"/>
      <c r="AT190" s="40"/>
      <c r="BA190" s="41"/>
      <c r="BH190" s="42"/>
      <c r="BO190" s="42"/>
      <c r="BP190" s="43"/>
      <c r="CB190" s="44"/>
      <c r="CC190" s="39"/>
      <c r="CD190" s="39"/>
      <c r="CE190" s="39"/>
      <c r="CF190" s="40"/>
      <c r="CG190" s="40"/>
      <c r="CH190" s="41"/>
      <c r="CI190" s="45"/>
      <c r="CJ190" s="45"/>
      <c r="CK190" s="45"/>
      <c r="CL190" s="45"/>
    </row>
    <row r="191" ht="15.75" customHeight="1">
      <c r="K191" s="38"/>
      <c r="R191" s="39"/>
      <c r="Y191" s="39"/>
      <c r="AF191" s="39"/>
      <c r="AM191" s="40"/>
      <c r="AT191" s="40"/>
      <c r="BA191" s="41"/>
      <c r="BH191" s="42"/>
      <c r="BO191" s="42"/>
      <c r="BP191" s="43"/>
      <c r="CB191" s="44"/>
      <c r="CC191" s="39"/>
      <c r="CD191" s="39"/>
      <c r="CE191" s="39"/>
      <c r="CF191" s="40"/>
      <c r="CG191" s="40"/>
      <c r="CH191" s="41"/>
      <c r="CI191" s="45"/>
      <c r="CJ191" s="45"/>
      <c r="CK191" s="45"/>
      <c r="CL191" s="45"/>
    </row>
    <row r="192" ht="15.75" customHeight="1">
      <c r="K192" s="38"/>
      <c r="R192" s="39"/>
      <c r="Y192" s="39"/>
      <c r="AF192" s="39"/>
      <c r="AM192" s="40"/>
      <c r="AT192" s="40"/>
      <c r="BA192" s="41"/>
      <c r="BH192" s="42"/>
      <c r="BO192" s="42"/>
      <c r="BP192" s="43"/>
      <c r="CB192" s="44"/>
      <c r="CC192" s="39"/>
      <c r="CD192" s="39"/>
      <c r="CE192" s="39"/>
      <c r="CF192" s="40"/>
      <c r="CG192" s="40"/>
      <c r="CH192" s="41"/>
      <c r="CI192" s="45"/>
      <c r="CJ192" s="45"/>
      <c r="CK192" s="45"/>
      <c r="CL192" s="45"/>
    </row>
    <row r="193" ht="15.75" customHeight="1">
      <c r="K193" s="38"/>
      <c r="R193" s="39"/>
      <c r="Y193" s="39"/>
      <c r="AF193" s="39"/>
      <c r="AM193" s="40"/>
      <c r="AT193" s="40"/>
      <c r="BA193" s="41"/>
      <c r="BH193" s="42"/>
      <c r="BO193" s="42"/>
      <c r="BP193" s="43"/>
      <c r="CB193" s="44"/>
      <c r="CC193" s="39"/>
      <c r="CD193" s="39"/>
      <c r="CE193" s="39"/>
      <c r="CF193" s="40"/>
      <c r="CG193" s="40"/>
      <c r="CH193" s="41"/>
      <c r="CI193" s="45"/>
      <c r="CJ193" s="45"/>
      <c r="CK193" s="45"/>
      <c r="CL193" s="45"/>
    </row>
    <row r="194" ht="15.75" customHeight="1">
      <c r="K194" s="38"/>
      <c r="R194" s="39"/>
      <c r="Y194" s="39"/>
      <c r="AF194" s="39"/>
      <c r="AM194" s="40"/>
      <c r="AT194" s="40"/>
      <c r="BA194" s="41"/>
      <c r="BH194" s="42"/>
      <c r="BO194" s="42"/>
      <c r="BP194" s="43"/>
      <c r="CB194" s="44"/>
      <c r="CC194" s="39"/>
      <c r="CD194" s="39"/>
      <c r="CE194" s="39"/>
      <c r="CF194" s="40"/>
      <c r="CG194" s="40"/>
      <c r="CH194" s="41"/>
      <c r="CI194" s="45"/>
      <c r="CJ194" s="45"/>
      <c r="CK194" s="45"/>
      <c r="CL194" s="45"/>
    </row>
    <row r="195" ht="15.75" customHeight="1">
      <c r="K195" s="38"/>
      <c r="R195" s="39"/>
      <c r="Y195" s="39"/>
      <c r="AF195" s="39"/>
      <c r="AM195" s="40"/>
      <c r="AT195" s="40"/>
      <c r="BA195" s="41"/>
      <c r="BH195" s="42"/>
      <c r="BO195" s="42"/>
      <c r="BP195" s="43"/>
      <c r="CB195" s="44"/>
      <c r="CC195" s="39"/>
      <c r="CD195" s="39"/>
      <c r="CE195" s="39"/>
      <c r="CF195" s="40"/>
      <c r="CG195" s="40"/>
      <c r="CH195" s="41"/>
      <c r="CI195" s="45"/>
      <c r="CJ195" s="45"/>
      <c r="CK195" s="45"/>
      <c r="CL195" s="45"/>
    </row>
    <row r="196" ht="15.75" customHeight="1">
      <c r="K196" s="38"/>
      <c r="R196" s="39"/>
      <c r="Y196" s="39"/>
      <c r="AF196" s="39"/>
      <c r="AM196" s="40"/>
      <c r="AT196" s="40"/>
      <c r="BA196" s="41"/>
      <c r="BH196" s="42"/>
      <c r="BO196" s="42"/>
      <c r="BP196" s="43"/>
      <c r="CB196" s="44"/>
      <c r="CC196" s="39"/>
      <c r="CD196" s="39"/>
      <c r="CE196" s="39"/>
      <c r="CF196" s="40"/>
      <c r="CG196" s="40"/>
      <c r="CH196" s="41"/>
      <c r="CI196" s="45"/>
      <c r="CJ196" s="45"/>
      <c r="CK196" s="45"/>
      <c r="CL196" s="45"/>
    </row>
    <row r="197" ht="15.75" customHeight="1">
      <c r="K197" s="38"/>
      <c r="R197" s="39"/>
      <c r="Y197" s="39"/>
      <c r="AF197" s="39"/>
      <c r="AM197" s="40"/>
      <c r="AT197" s="40"/>
      <c r="BA197" s="41"/>
      <c r="BH197" s="42"/>
      <c r="BO197" s="42"/>
      <c r="BP197" s="43"/>
      <c r="CB197" s="44"/>
      <c r="CC197" s="39"/>
      <c r="CD197" s="39"/>
      <c r="CE197" s="39"/>
      <c r="CF197" s="40"/>
      <c r="CG197" s="40"/>
      <c r="CH197" s="41"/>
      <c r="CI197" s="45"/>
      <c r="CJ197" s="45"/>
      <c r="CK197" s="45"/>
      <c r="CL197" s="45"/>
    </row>
    <row r="198" ht="15.75" customHeight="1">
      <c r="K198" s="38"/>
      <c r="R198" s="39"/>
      <c r="Y198" s="39"/>
      <c r="AF198" s="39"/>
      <c r="AM198" s="40"/>
      <c r="AT198" s="40"/>
      <c r="BA198" s="41"/>
      <c r="BH198" s="42"/>
      <c r="BO198" s="42"/>
      <c r="BP198" s="43"/>
      <c r="CB198" s="44"/>
      <c r="CC198" s="39"/>
      <c r="CD198" s="39"/>
      <c r="CE198" s="39"/>
      <c r="CF198" s="40"/>
      <c r="CG198" s="40"/>
      <c r="CH198" s="41"/>
      <c r="CI198" s="45"/>
      <c r="CJ198" s="45"/>
      <c r="CK198" s="45"/>
      <c r="CL198" s="45"/>
    </row>
    <row r="199" ht="15.75" customHeight="1">
      <c r="K199" s="38"/>
      <c r="R199" s="39"/>
      <c r="Y199" s="39"/>
      <c r="AF199" s="39"/>
      <c r="AM199" s="40"/>
      <c r="AT199" s="40"/>
      <c r="BA199" s="41"/>
      <c r="BH199" s="42"/>
      <c r="BO199" s="42"/>
      <c r="BP199" s="43"/>
      <c r="CB199" s="44"/>
      <c r="CC199" s="39"/>
      <c r="CD199" s="39"/>
      <c r="CE199" s="39"/>
      <c r="CF199" s="40"/>
      <c r="CG199" s="40"/>
      <c r="CH199" s="41"/>
      <c r="CI199" s="45"/>
      <c r="CJ199" s="45"/>
      <c r="CK199" s="45"/>
      <c r="CL199" s="45"/>
    </row>
    <row r="200" ht="15.75" customHeight="1">
      <c r="K200" s="38"/>
      <c r="R200" s="39"/>
      <c r="Y200" s="39"/>
      <c r="AF200" s="39"/>
      <c r="AM200" s="40"/>
      <c r="AT200" s="40"/>
      <c r="BA200" s="41"/>
      <c r="BH200" s="42"/>
      <c r="BO200" s="42"/>
      <c r="BP200" s="43"/>
      <c r="CB200" s="44"/>
      <c r="CC200" s="39"/>
      <c r="CD200" s="39"/>
      <c r="CE200" s="39"/>
      <c r="CF200" s="40"/>
      <c r="CG200" s="40"/>
      <c r="CH200" s="41"/>
      <c r="CI200" s="45"/>
      <c r="CJ200" s="45"/>
      <c r="CK200" s="45"/>
      <c r="CL200" s="45"/>
    </row>
    <row r="201" ht="15.75" customHeight="1">
      <c r="K201" s="38"/>
      <c r="R201" s="39"/>
      <c r="Y201" s="39"/>
      <c r="AF201" s="39"/>
      <c r="AM201" s="40"/>
      <c r="AT201" s="40"/>
      <c r="BA201" s="41"/>
      <c r="BH201" s="42"/>
      <c r="BO201" s="42"/>
      <c r="BP201" s="43"/>
      <c r="CB201" s="44"/>
      <c r="CC201" s="39"/>
      <c r="CD201" s="39"/>
      <c r="CE201" s="39"/>
      <c r="CF201" s="40"/>
      <c r="CG201" s="40"/>
      <c r="CH201" s="41"/>
      <c r="CI201" s="45"/>
      <c r="CJ201" s="45"/>
      <c r="CK201" s="45"/>
      <c r="CL201" s="45"/>
    </row>
    <row r="202" ht="15.75" customHeight="1">
      <c r="K202" s="38"/>
      <c r="R202" s="39"/>
      <c r="Y202" s="39"/>
      <c r="AF202" s="39"/>
      <c r="AM202" s="40"/>
      <c r="AT202" s="40"/>
      <c r="BA202" s="41"/>
      <c r="BH202" s="42"/>
      <c r="BO202" s="42"/>
      <c r="BP202" s="43"/>
      <c r="CB202" s="44"/>
      <c r="CC202" s="39"/>
      <c r="CD202" s="39"/>
      <c r="CE202" s="39"/>
      <c r="CF202" s="40"/>
      <c r="CG202" s="40"/>
      <c r="CH202" s="41"/>
      <c r="CI202" s="45"/>
      <c r="CJ202" s="45"/>
      <c r="CK202" s="45"/>
      <c r="CL202" s="45"/>
    </row>
    <row r="203" ht="15.75" customHeight="1">
      <c r="K203" s="38"/>
      <c r="R203" s="39"/>
      <c r="Y203" s="39"/>
      <c r="AF203" s="39"/>
      <c r="AM203" s="40"/>
      <c r="AT203" s="40"/>
      <c r="BA203" s="41"/>
      <c r="BH203" s="42"/>
      <c r="BO203" s="42"/>
      <c r="BP203" s="43"/>
      <c r="CB203" s="44"/>
      <c r="CC203" s="39"/>
      <c r="CD203" s="39"/>
      <c r="CE203" s="39"/>
      <c r="CF203" s="40"/>
      <c r="CG203" s="40"/>
      <c r="CH203" s="41"/>
      <c r="CI203" s="45"/>
      <c r="CJ203" s="45"/>
      <c r="CK203" s="45"/>
      <c r="CL203" s="45"/>
    </row>
    <row r="204" ht="15.75" customHeight="1">
      <c r="K204" s="38"/>
      <c r="R204" s="39"/>
      <c r="Y204" s="39"/>
      <c r="AF204" s="39"/>
      <c r="AM204" s="40"/>
      <c r="AT204" s="40"/>
      <c r="BA204" s="41"/>
      <c r="BH204" s="42"/>
      <c r="BO204" s="42"/>
      <c r="BP204" s="43"/>
      <c r="CB204" s="44"/>
      <c r="CC204" s="39"/>
      <c r="CD204" s="39"/>
      <c r="CE204" s="39"/>
      <c r="CF204" s="40"/>
      <c r="CG204" s="40"/>
      <c r="CH204" s="41"/>
      <c r="CI204" s="45"/>
      <c r="CJ204" s="45"/>
      <c r="CK204" s="45"/>
      <c r="CL204" s="45"/>
    </row>
    <row r="205" ht="15.75" customHeight="1">
      <c r="K205" s="38"/>
      <c r="R205" s="39"/>
      <c r="Y205" s="39"/>
      <c r="AF205" s="39"/>
      <c r="AM205" s="40"/>
      <c r="AT205" s="40"/>
      <c r="BA205" s="41"/>
      <c r="BH205" s="42"/>
      <c r="BO205" s="42"/>
      <c r="BP205" s="43"/>
      <c r="CB205" s="44"/>
      <c r="CC205" s="39"/>
      <c r="CD205" s="39"/>
      <c r="CE205" s="39"/>
      <c r="CF205" s="40"/>
      <c r="CG205" s="40"/>
      <c r="CH205" s="41"/>
      <c r="CI205" s="45"/>
      <c r="CJ205" s="45"/>
      <c r="CK205" s="45"/>
      <c r="CL205" s="45"/>
    </row>
    <row r="206" ht="15.75" customHeight="1">
      <c r="K206" s="38"/>
      <c r="R206" s="39"/>
      <c r="Y206" s="39"/>
      <c r="AF206" s="39"/>
      <c r="AM206" s="40"/>
      <c r="AT206" s="40"/>
      <c r="BA206" s="41"/>
      <c r="BH206" s="42"/>
      <c r="BO206" s="42"/>
      <c r="BP206" s="43"/>
      <c r="CB206" s="44"/>
      <c r="CC206" s="39"/>
      <c r="CD206" s="39"/>
      <c r="CE206" s="39"/>
      <c r="CF206" s="40"/>
      <c r="CG206" s="40"/>
      <c r="CH206" s="41"/>
      <c r="CI206" s="45"/>
      <c r="CJ206" s="45"/>
      <c r="CK206" s="45"/>
      <c r="CL206" s="45"/>
    </row>
    <row r="207" ht="15.75" customHeight="1">
      <c r="K207" s="38"/>
      <c r="R207" s="39"/>
      <c r="Y207" s="39"/>
      <c r="AF207" s="39"/>
      <c r="AM207" s="40"/>
      <c r="AT207" s="40"/>
      <c r="BA207" s="41"/>
      <c r="BH207" s="42"/>
      <c r="BO207" s="42"/>
      <c r="BP207" s="43"/>
      <c r="CB207" s="44"/>
      <c r="CC207" s="39"/>
      <c r="CD207" s="39"/>
      <c r="CE207" s="39"/>
      <c r="CF207" s="40"/>
      <c r="CG207" s="40"/>
      <c r="CH207" s="41"/>
      <c r="CI207" s="45"/>
      <c r="CJ207" s="45"/>
      <c r="CK207" s="45"/>
      <c r="CL207" s="45"/>
    </row>
    <row r="208" ht="15.75" customHeight="1">
      <c r="K208" s="38"/>
      <c r="R208" s="39"/>
      <c r="Y208" s="39"/>
      <c r="AF208" s="39"/>
      <c r="AM208" s="40"/>
      <c r="AT208" s="40"/>
      <c r="BA208" s="41"/>
      <c r="BH208" s="42"/>
      <c r="BO208" s="42"/>
      <c r="BP208" s="43"/>
      <c r="CB208" s="44"/>
      <c r="CC208" s="39"/>
      <c r="CD208" s="39"/>
      <c r="CE208" s="39"/>
      <c r="CF208" s="40"/>
      <c r="CG208" s="40"/>
      <c r="CH208" s="41"/>
      <c r="CI208" s="45"/>
      <c r="CJ208" s="45"/>
      <c r="CK208" s="45"/>
      <c r="CL208" s="45"/>
    </row>
    <row r="209" ht="15.75" customHeight="1">
      <c r="K209" s="38"/>
      <c r="R209" s="39"/>
      <c r="Y209" s="39"/>
      <c r="AF209" s="39"/>
      <c r="AM209" s="40"/>
      <c r="AT209" s="40"/>
      <c r="BA209" s="41"/>
      <c r="BH209" s="42"/>
      <c r="BO209" s="42"/>
      <c r="BP209" s="43"/>
      <c r="CB209" s="44"/>
      <c r="CC209" s="39"/>
      <c r="CD209" s="39"/>
      <c r="CE209" s="39"/>
      <c r="CF209" s="40"/>
      <c r="CG209" s="40"/>
      <c r="CH209" s="41"/>
      <c r="CI209" s="45"/>
      <c r="CJ209" s="45"/>
      <c r="CK209" s="45"/>
      <c r="CL209" s="45"/>
    </row>
    <row r="210" ht="15.75" customHeight="1">
      <c r="K210" s="38"/>
      <c r="R210" s="39"/>
      <c r="Y210" s="39"/>
      <c r="AF210" s="39"/>
      <c r="AM210" s="40"/>
      <c r="AT210" s="40"/>
      <c r="BA210" s="41"/>
      <c r="BH210" s="42"/>
      <c r="BO210" s="42"/>
      <c r="BP210" s="43"/>
      <c r="CB210" s="44"/>
      <c r="CC210" s="39"/>
      <c r="CD210" s="39"/>
      <c r="CE210" s="39"/>
      <c r="CF210" s="40"/>
      <c r="CG210" s="40"/>
      <c r="CH210" s="41"/>
      <c r="CI210" s="45"/>
      <c r="CJ210" s="45"/>
      <c r="CK210" s="45"/>
      <c r="CL210" s="45"/>
    </row>
    <row r="211" ht="15.75" customHeight="1">
      <c r="K211" s="38"/>
      <c r="R211" s="39"/>
      <c r="Y211" s="39"/>
      <c r="AF211" s="39"/>
      <c r="AM211" s="40"/>
      <c r="AT211" s="40"/>
      <c r="BA211" s="41"/>
      <c r="BH211" s="42"/>
      <c r="BO211" s="42"/>
      <c r="BP211" s="43"/>
      <c r="CB211" s="44"/>
      <c r="CC211" s="39"/>
      <c r="CD211" s="39"/>
      <c r="CE211" s="39"/>
      <c r="CF211" s="40"/>
      <c r="CG211" s="40"/>
      <c r="CH211" s="41"/>
      <c r="CI211" s="45"/>
      <c r="CJ211" s="45"/>
      <c r="CK211" s="45"/>
      <c r="CL211" s="45"/>
    </row>
    <row r="212" ht="15.75" customHeight="1">
      <c r="K212" s="38"/>
      <c r="R212" s="39"/>
      <c r="Y212" s="39"/>
      <c r="AF212" s="39"/>
      <c r="AM212" s="40"/>
      <c r="AT212" s="40"/>
      <c r="BA212" s="41"/>
      <c r="BH212" s="42"/>
      <c r="BO212" s="42"/>
      <c r="BP212" s="43"/>
      <c r="CB212" s="44"/>
      <c r="CC212" s="39"/>
      <c r="CD212" s="39"/>
      <c r="CE212" s="39"/>
      <c r="CF212" s="40"/>
      <c r="CG212" s="40"/>
      <c r="CH212" s="41"/>
      <c r="CI212" s="45"/>
      <c r="CJ212" s="45"/>
      <c r="CK212" s="45"/>
      <c r="CL212" s="45"/>
    </row>
    <row r="213" ht="15.75" customHeight="1">
      <c r="K213" s="38"/>
      <c r="R213" s="39"/>
      <c r="Y213" s="39"/>
      <c r="AF213" s="39"/>
      <c r="AM213" s="40"/>
      <c r="AT213" s="40"/>
      <c r="BA213" s="41"/>
      <c r="BH213" s="42"/>
      <c r="BO213" s="42"/>
      <c r="BP213" s="43"/>
      <c r="CB213" s="44"/>
      <c r="CC213" s="39"/>
      <c r="CD213" s="39"/>
      <c r="CE213" s="39"/>
      <c r="CF213" s="40"/>
      <c r="CG213" s="40"/>
      <c r="CH213" s="41"/>
      <c r="CI213" s="45"/>
      <c r="CJ213" s="45"/>
      <c r="CK213" s="45"/>
      <c r="CL213" s="45"/>
    </row>
    <row r="214" ht="15.75" customHeight="1">
      <c r="K214" s="38"/>
      <c r="R214" s="39"/>
      <c r="Y214" s="39"/>
      <c r="AF214" s="39"/>
      <c r="AM214" s="40"/>
      <c r="AT214" s="40"/>
      <c r="BA214" s="41"/>
      <c r="BH214" s="42"/>
      <c r="BO214" s="42"/>
      <c r="BP214" s="43"/>
      <c r="CB214" s="44"/>
      <c r="CC214" s="39"/>
      <c r="CD214" s="39"/>
      <c r="CE214" s="39"/>
      <c r="CF214" s="40"/>
      <c r="CG214" s="40"/>
      <c r="CH214" s="41"/>
      <c r="CI214" s="45"/>
      <c r="CJ214" s="45"/>
      <c r="CK214" s="45"/>
      <c r="CL214" s="45"/>
    </row>
    <row r="215" ht="15.75" customHeight="1">
      <c r="K215" s="38"/>
      <c r="R215" s="39"/>
      <c r="Y215" s="39"/>
      <c r="AF215" s="39"/>
      <c r="AM215" s="40"/>
      <c r="AT215" s="40"/>
      <c r="BA215" s="41"/>
      <c r="BH215" s="42"/>
      <c r="BO215" s="42"/>
      <c r="BP215" s="43"/>
      <c r="CB215" s="44"/>
      <c r="CC215" s="39"/>
      <c r="CD215" s="39"/>
      <c r="CE215" s="39"/>
      <c r="CF215" s="40"/>
      <c r="CG215" s="40"/>
      <c r="CH215" s="41"/>
      <c r="CI215" s="45"/>
      <c r="CJ215" s="45"/>
      <c r="CK215" s="45"/>
      <c r="CL215" s="45"/>
    </row>
    <row r="216" ht="15.75" customHeight="1">
      <c r="K216" s="38"/>
      <c r="R216" s="39"/>
      <c r="Y216" s="39"/>
      <c r="AF216" s="39"/>
      <c r="AM216" s="40"/>
      <c r="AT216" s="40"/>
      <c r="BA216" s="41"/>
      <c r="BH216" s="42"/>
      <c r="BO216" s="42"/>
      <c r="BP216" s="43"/>
      <c r="CB216" s="44"/>
      <c r="CC216" s="39"/>
      <c r="CD216" s="39"/>
      <c r="CE216" s="39"/>
      <c r="CF216" s="40"/>
      <c r="CG216" s="40"/>
      <c r="CH216" s="41"/>
      <c r="CI216" s="45"/>
      <c r="CJ216" s="45"/>
      <c r="CK216" s="45"/>
      <c r="CL216" s="45"/>
    </row>
    <row r="217" ht="15.75" customHeight="1">
      <c r="K217" s="38"/>
      <c r="R217" s="39"/>
      <c r="Y217" s="39"/>
      <c r="AF217" s="39"/>
      <c r="AM217" s="40"/>
      <c r="AT217" s="40"/>
      <c r="BA217" s="41"/>
      <c r="BH217" s="42"/>
      <c r="BO217" s="42"/>
      <c r="BP217" s="43"/>
      <c r="CB217" s="44"/>
      <c r="CC217" s="39"/>
      <c r="CD217" s="39"/>
      <c r="CE217" s="39"/>
      <c r="CF217" s="40"/>
      <c r="CG217" s="40"/>
      <c r="CH217" s="41"/>
      <c r="CI217" s="45"/>
      <c r="CJ217" s="45"/>
      <c r="CK217" s="45"/>
      <c r="CL217" s="45"/>
    </row>
    <row r="218" ht="15.75" customHeight="1">
      <c r="K218" s="38"/>
      <c r="R218" s="39"/>
      <c r="Y218" s="39"/>
      <c r="AF218" s="39"/>
      <c r="AM218" s="40"/>
      <c r="AT218" s="40"/>
      <c r="BA218" s="41"/>
      <c r="BH218" s="42"/>
      <c r="BO218" s="42"/>
      <c r="BP218" s="43"/>
      <c r="CB218" s="44"/>
      <c r="CC218" s="39"/>
      <c r="CD218" s="39"/>
      <c r="CE218" s="39"/>
      <c r="CF218" s="40"/>
      <c r="CG218" s="40"/>
      <c r="CH218" s="41"/>
      <c r="CI218" s="45"/>
      <c r="CJ218" s="45"/>
      <c r="CK218" s="45"/>
      <c r="CL218" s="45"/>
    </row>
    <row r="219" ht="15.75" customHeight="1">
      <c r="K219" s="38"/>
      <c r="R219" s="39"/>
      <c r="Y219" s="39"/>
      <c r="AF219" s="39"/>
      <c r="AM219" s="40"/>
      <c r="AT219" s="40"/>
      <c r="BA219" s="41"/>
      <c r="BH219" s="42"/>
      <c r="BO219" s="42"/>
      <c r="BP219" s="43"/>
      <c r="CB219" s="44"/>
      <c r="CC219" s="39"/>
      <c r="CD219" s="39"/>
      <c r="CE219" s="39"/>
      <c r="CF219" s="40"/>
      <c r="CG219" s="40"/>
      <c r="CH219" s="41"/>
      <c r="CI219" s="45"/>
      <c r="CJ219" s="45"/>
      <c r="CK219" s="45"/>
      <c r="CL219" s="45"/>
    </row>
    <row r="220" ht="15.75" customHeight="1">
      <c r="K220" s="38"/>
      <c r="R220" s="39"/>
      <c r="Y220" s="39"/>
      <c r="AF220" s="39"/>
      <c r="AM220" s="40"/>
      <c r="AT220" s="40"/>
      <c r="BA220" s="41"/>
      <c r="BH220" s="42"/>
      <c r="BO220" s="42"/>
      <c r="BP220" s="43"/>
      <c r="CB220" s="44"/>
      <c r="CC220" s="39"/>
      <c r="CD220" s="39"/>
      <c r="CE220" s="39"/>
      <c r="CF220" s="40"/>
      <c r="CG220" s="40"/>
      <c r="CH220" s="41"/>
      <c r="CI220" s="45"/>
      <c r="CJ220" s="45"/>
      <c r="CK220" s="45"/>
      <c r="CL220" s="45"/>
    </row>
    <row r="221" ht="15.75" customHeight="1">
      <c r="K221" s="38"/>
      <c r="R221" s="39"/>
      <c r="Y221" s="39"/>
      <c r="AF221" s="39"/>
      <c r="AM221" s="40"/>
      <c r="AT221" s="40"/>
      <c r="BA221" s="41"/>
      <c r="BH221" s="42"/>
      <c r="BO221" s="42"/>
      <c r="BP221" s="43"/>
      <c r="CB221" s="44"/>
      <c r="CC221" s="39"/>
      <c r="CD221" s="39"/>
      <c r="CE221" s="39"/>
      <c r="CF221" s="40"/>
      <c r="CG221" s="40"/>
      <c r="CH221" s="41"/>
      <c r="CI221" s="45"/>
      <c r="CJ221" s="45"/>
      <c r="CK221" s="45"/>
      <c r="CL221" s="45"/>
    </row>
    <row r="222" ht="15.75" customHeight="1">
      <c r="K222" s="38"/>
      <c r="R222" s="39"/>
      <c r="Y222" s="39"/>
      <c r="AF222" s="39"/>
      <c r="AM222" s="40"/>
      <c r="AT222" s="40"/>
      <c r="BA222" s="41"/>
      <c r="BH222" s="42"/>
      <c r="BO222" s="42"/>
      <c r="BP222" s="43"/>
      <c r="CB222" s="44"/>
      <c r="CC222" s="39"/>
      <c r="CD222" s="39"/>
      <c r="CE222" s="39"/>
      <c r="CF222" s="40"/>
      <c r="CG222" s="40"/>
      <c r="CH222" s="41"/>
      <c r="CI222" s="45"/>
      <c r="CJ222" s="45"/>
      <c r="CK222" s="45"/>
      <c r="CL222" s="45"/>
    </row>
    <row r="223" ht="15.75" customHeight="1">
      <c r="K223" s="38"/>
      <c r="R223" s="39"/>
      <c r="Y223" s="39"/>
      <c r="AF223" s="39"/>
      <c r="AM223" s="40"/>
      <c r="AT223" s="40"/>
      <c r="BA223" s="41"/>
      <c r="BH223" s="42"/>
      <c r="BO223" s="42"/>
      <c r="BP223" s="43"/>
      <c r="CB223" s="44"/>
      <c r="CC223" s="39"/>
      <c r="CD223" s="39"/>
      <c r="CE223" s="39"/>
      <c r="CF223" s="40"/>
      <c r="CG223" s="40"/>
      <c r="CH223" s="41"/>
      <c r="CI223" s="45"/>
      <c r="CJ223" s="45"/>
      <c r="CK223" s="45"/>
      <c r="CL223" s="45"/>
    </row>
    <row r="224" ht="15.75" customHeight="1">
      <c r="K224" s="38"/>
      <c r="R224" s="39"/>
      <c r="Y224" s="39"/>
      <c r="AF224" s="39"/>
      <c r="AM224" s="40"/>
      <c r="AT224" s="40"/>
      <c r="BA224" s="41"/>
      <c r="BH224" s="42"/>
      <c r="BO224" s="42"/>
      <c r="BP224" s="43"/>
      <c r="CB224" s="44"/>
      <c r="CC224" s="39"/>
      <c r="CD224" s="39"/>
      <c r="CE224" s="39"/>
      <c r="CF224" s="40"/>
      <c r="CG224" s="40"/>
      <c r="CH224" s="41"/>
      <c r="CI224" s="45"/>
      <c r="CJ224" s="45"/>
      <c r="CK224" s="45"/>
      <c r="CL224" s="45"/>
    </row>
    <row r="225" ht="15.75" customHeight="1">
      <c r="K225" s="38"/>
      <c r="R225" s="39"/>
      <c r="Y225" s="39"/>
      <c r="AF225" s="39"/>
      <c r="AM225" s="40"/>
      <c r="AT225" s="40"/>
      <c r="BA225" s="41"/>
      <c r="BH225" s="42"/>
      <c r="BO225" s="42"/>
      <c r="BP225" s="43"/>
      <c r="CB225" s="44"/>
      <c r="CC225" s="39"/>
      <c r="CD225" s="39"/>
      <c r="CE225" s="39"/>
      <c r="CF225" s="40"/>
      <c r="CG225" s="40"/>
      <c r="CH225" s="41"/>
      <c r="CI225" s="45"/>
      <c r="CJ225" s="45"/>
      <c r="CK225" s="45"/>
      <c r="CL225" s="45"/>
    </row>
    <row r="226" ht="15.75" customHeight="1">
      <c r="K226" s="38"/>
      <c r="R226" s="39"/>
      <c r="Y226" s="39"/>
      <c r="AF226" s="39"/>
      <c r="AM226" s="40"/>
      <c r="AT226" s="40"/>
      <c r="BA226" s="41"/>
      <c r="BH226" s="42"/>
      <c r="BO226" s="42"/>
      <c r="BP226" s="43"/>
      <c r="CB226" s="44"/>
      <c r="CC226" s="39"/>
      <c r="CD226" s="39"/>
      <c r="CE226" s="39"/>
      <c r="CF226" s="40"/>
      <c r="CG226" s="40"/>
      <c r="CH226" s="41"/>
      <c r="CI226" s="45"/>
      <c r="CJ226" s="45"/>
      <c r="CK226" s="45"/>
      <c r="CL226" s="45"/>
    </row>
    <row r="227" ht="15.75" customHeight="1">
      <c r="K227" s="38"/>
      <c r="R227" s="39"/>
      <c r="Y227" s="39"/>
      <c r="AF227" s="39"/>
      <c r="AM227" s="40"/>
      <c r="AT227" s="40"/>
      <c r="BA227" s="41"/>
      <c r="BH227" s="42"/>
      <c r="BO227" s="42"/>
      <c r="BP227" s="43"/>
      <c r="CB227" s="44"/>
      <c r="CC227" s="39"/>
      <c r="CD227" s="39"/>
      <c r="CE227" s="39"/>
      <c r="CF227" s="40"/>
      <c r="CG227" s="40"/>
      <c r="CH227" s="41"/>
      <c r="CI227" s="45"/>
      <c r="CJ227" s="45"/>
      <c r="CK227" s="45"/>
      <c r="CL227" s="45"/>
    </row>
    <row r="228" ht="15.75" customHeight="1">
      <c r="K228" s="38"/>
      <c r="R228" s="39"/>
      <c r="Y228" s="39"/>
      <c r="AF228" s="39"/>
      <c r="AM228" s="40"/>
      <c r="AT228" s="40"/>
      <c r="BA228" s="41"/>
      <c r="BH228" s="42"/>
      <c r="BO228" s="42"/>
      <c r="BP228" s="43"/>
      <c r="CB228" s="44"/>
      <c r="CC228" s="39"/>
      <c r="CD228" s="39"/>
      <c r="CE228" s="39"/>
      <c r="CF228" s="40"/>
      <c r="CG228" s="40"/>
      <c r="CH228" s="41"/>
      <c r="CI228" s="45"/>
      <c r="CJ228" s="45"/>
      <c r="CK228" s="45"/>
      <c r="CL228" s="45"/>
    </row>
    <row r="229" ht="15.75" customHeight="1">
      <c r="K229" s="38"/>
      <c r="R229" s="39"/>
      <c r="Y229" s="39"/>
      <c r="AF229" s="39"/>
      <c r="AM229" s="40"/>
      <c r="AT229" s="40"/>
      <c r="BA229" s="41"/>
      <c r="BH229" s="42"/>
      <c r="BO229" s="42"/>
      <c r="BP229" s="43"/>
      <c r="CB229" s="44"/>
      <c r="CC229" s="39"/>
      <c r="CD229" s="39"/>
      <c r="CE229" s="39"/>
      <c r="CF229" s="40"/>
      <c r="CG229" s="40"/>
      <c r="CH229" s="41"/>
      <c r="CI229" s="45"/>
      <c r="CJ229" s="45"/>
      <c r="CK229" s="45"/>
      <c r="CL229" s="45"/>
    </row>
    <row r="230" ht="15.75" customHeight="1">
      <c r="K230" s="38"/>
      <c r="R230" s="39"/>
      <c r="Y230" s="39"/>
      <c r="AF230" s="39"/>
      <c r="AM230" s="40"/>
      <c r="AT230" s="40"/>
      <c r="BA230" s="41"/>
      <c r="BH230" s="42"/>
      <c r="BO230" s="42"/>
      <c r="BP230" s="43"/>
      <c r="CB230" s="44"/>
      <c r="CC230" s="39"/>
      <c r="CD230" s="39"/>
      <c r="CE230" s="39"/>
      <c r="CF230" s="40"/>
      <c r="CG230" s="40"/>
      <c r="CH230" s="41"/>
      <c r="CI230" s="45"/>
      <c r="CJ230" s="45"/>
      <c r="CK230" s="45"/>
      <c r="CL230" s="45"/>
    </row>
    <row r="231" ht="15.75" customHeight="1">
      <c r="K231" s="38"/>
      <c r="R231" s="39"/>
      <c r="Y231" s="39"/>
      <c r="AF231" s="39"/>
      <c r="AM231" s="40"/>
      <c r="AT231" s="40"/>
      <c r="BA231" s="41"/>
      <c r="BH231" s="42"/>
      <c r="BO231" s="42"/>
      <c r="BP231" s="43"/>
      <c r="CB231" s="44"/>
      <c r="CC231" s="39"/>
      <c r="CD231" s="39"/>
      <c r="CE231" s="39"/>
      <c r="CF231" s="40"/>
      <c r="CG231" s="40"/>
      <c r="CH231" s="41"/>
      <c r="CI231" s="45"/>
      <c r="CJ231" s="45"/>
      <c r="CK231" s="45"/>
      <c r="CL231" s="45"/>
    </row>
    <row r="232" ht="15.75" customHeight="1">
      <c r="K232" s="38"/>
      <c r="R232" s="39"/>
      <c r="Y232" s="39"/>
      <c r="AF232" s="39"/>
      <c r="AM232" s="40"/>
      <c r="AT232" s="40"/>
      <c r="BA232" s="41"/>
      <c r="BH232" s="42"/>
      <c r="BO232" s="42"/>
      <c r="BP232" s="43"/>
      <c r="CB232" s="44"/>
      <c r="CC232" s="39"/>
      <c r="CD232" s="39"/>
      <c r="CE232" s="39"/>
      <c r="CF232" s="40"/>
      <c r="CG232" s="40"/>
      <c r="CH232" s="41"/>
      <c r="CI232" s="45"/>
      <c r="CJ232" s="45"/>
      <c r="CK232" s="45"/>
      <c r="CL232" s="45"/>
    </row>
    <row r="233" ht="15.75" customHeight="1">
      <c r="K233" s="38"/>
      <c r="R233" s="39"/>
      <c r="Y233" s="39"/>
      <c r="AF233" s="39"/>
      <c r="AM233" s="40"/>
      <c r="AT233" s="40"/>
      <c r="BA233" s="41"/>
      <c r="BH233" s="42"/>
      <c r="BO233" s="42"/>
      <c r="BP233" s="43"/>
      <c r="CB233" s="44"/>
      <c r="CC233" s="39"/>
      <c r="CD233" s="39"/>
      <c r="CE233" s="39"/>
      <c r="CF233" s="40"/>
      <c r="CG233" s="40"/>
      <c r="CH233" s="41"/>
      <c r="CI233" s="45"/>
      <c r="CJ233" s="45"/>
      <c r="CK233" s="45"/>
      <c r="CL233" s="45"/>
    </row>
    <row r="234" ht="15.75" customHeight="1">
      <c r="K234" s="38"/>
      <c r="R234" s="39"/>
      <c r="Y234" s="39"/>
      <c r="AF234" s="39"/>
      <c r="AM234" s="40"/>
      <c r="AT234" s="40"/>
      <c r="BA234" s="41"/>
      <c r="BH234" s="42"/>
      <c r="BO234" s="42"/>
      <c r="BP234" s="43"/>
      <c r="CB234" s="44"/>
      <c r="CC234" s="39"/>
      <c r="CD234" s="39"/>
      <c r="CE234" s="39"/>
      <c r="CF234" s="40"/>
      <c r="CG234" s="40"/>
      <c r="CH234" s="41"/>
      <c r="CI234" s="45"/>
      <c r="CJ234" s="45"/>
      <c r="CK234" s="45"/>
      <c r="CL234" s="45"/>
    </row>
    <row r="235" ht="15.75" customHeight="1">
      <c r="K235" s="38"/>
      <c r="R235" s="39"/>
      <c r="Y235" s="39"/>
      <c r="AF235" s="39"/>
      <c r="AM235" s="40"/>
      <c r="AT235" s="40"/>
      <c r="BA235" s="41"/>
      <c r="BH235" s="42"/>
      <c r="BO235" s="42"/>
      <c r="BP235" s="43"/>
      <c r="CB235" s="44"/>
      <c r="CC235" s="39"/>
      <c r="CD235" s="39"/>
      <c r="CE235" s="39"/>
      <c r="CF235" s="40"/>
      <c r="CG235" s="40"/>
      <c r="CH235" s="41"/>
      <c r="CI235" s="45"/>
      <c r="CJ235" s="45"/>
      <c r="CK235" s="45"/>
      <c r="CL235" s="45"/>
    </row>
    <row r="236" ht="15.75" customHeight="1">
      <c r="K236" s="38"/>
      <c r="R236" s="39"/>
      <c r="Y236" s="39"/>
      <c r="AF236" s="39"/>
      <c r="AM236" s="40"/>
      <c r="AT236" s="40"/>
      <c r="BA236" s="41"/>
      <c r="BH236" s="42"/>
      <c r="BO236" s="42"/>
      <c r="BP236" s="43"/>
      <c r="CB236" s="44"/>
      <c r="CC236" s="39"/>
      <c r="CD236" s="39"/>
      <c r="CE236" s="39"/>
      <c r="CF236" s="40"/>
      <c r="CG236" s="40"/>
      <c r="CH236" s="41"/>
      <c r="CI236" s="45"/>
      <c r="CJ236" s="45"/>
      <c r="CK236" s="45"/>
      <c r="CL236" s="45"/>
    </row>
    <row r="237" ht="15.75" customHeight="1">
      <c r="K237" s="38"/>
      <c r="R237" s="39"/>
      <c r="Y237" s="39"/>
      <c r="AF237" s="39"/>
      <c r="AM237" s="40"/>
      <c r="AT237" s="40"/>
      <c r="BA237" s="41"/>
      <c r="BH237" s="42"/>
      <c r="BO237" s="42"/>
      <c r="BP237" s="43"/>
      <c r="CB237" s="44"/>
      <c r="CC237" s="39"/>
      <c r="CD237" s="39"/>
      <c r="CE237" s="39"/>
      <c r="CF237" s="40"/>
      <c r="CG237" s="40"/>
      <c r="CH237" s="41"/>
      <c r="CI237" s="45"/>
      <c r="CJ237" s="45"/>
      <c r="CK237" s="45"/>
      <c r="CL237" s="45"/>
    </row>
    <row r="238" ht="15.75" customHeight="1">
      <c r="K238" s="38"/>
      <c r="R238" s="39"/>
      <c r="Y238" s="39"/>
      <c r="AF238" s="39"/>
      <c r="AM238" s="40"/>
      <c r="AT238" s="40"/>
      <c r="BA238" s="41"/>
      <c r="BH238" s="42"/>
      <c r="BO238" s="42"/>
      <c r="BP238" s="43"/>
      <c r="CB238" s="44"/>
      <c r="CC238" s="39"/>
      <c r="CD238" s="39"/>
      <c r="CE238" s="39"/>
      <c r="CF238" s="40"/>
      <c r="CG238" s="40"/>
      <c r="CH238" s="41"/>
      <c r="CI238" s="45"/>
      <c r="CJ238" s="45"/>
      <c r="CK238" s="45"/>
      <c r="CL238" s="45"/>
    </row>
    <row r="239" ht="15.75" customHeight="1">
      <c r="K239" s="38"/>
      <c r="R239" s="39"/>
      <c r="Y239" s="39"/>
      <c r="AF239" s="39"/>
      <c r="AM239" s="40"/>
      <c r="AT239" s="40"/>
      <c r="BA239" s="41"/>
      <c r="BH239" s="42"/>
      <c r="BO239" s="42"/>
      <c r="BP239" s="43"/>
      <c r="CB239" s="44"/>
      <c r="CC239" s="39"/>
      <c r="CD239" s="39"/>
      <c r="CE239" s="39"/>
      <c r="CF239" s="40"/>
      <c r="CG239" s="40"/>
      <c r="CH239" s="41"/>
      <c r="CI239" s="45"/>
      <c r="CJ239" s="45"/>
      <c r="CK239" s="45"/>
      <c r="CL239" s="45"/>
    </row>
    <row r="240" ht="15.75" customHeight="1">
      <c r="K240" s="38"/>
      <c r="R240" s="39"/>
      <c r="Y240" s="39"/>
      <c r="AF240" s="39"/>
      <c r="AM240" s="40"/>
      <c r="AT240" s="40"/>
      <c r="BA240" s="41"/>
      <c r="BH240" s="42"/>
      <c r="BO240" s="42"/>
      <c r="BP240" s="43"/>
      <c r="CB240" s="44"/>
      <c r="CC240" s="39"/>
      <c r="CD240" s="39"/>
      <c r="CE240" s="39"/>
      <c r="CF240" s="40"/>
      <c r="CG240" s="40"/>
      <c r="CH240" s="41"/>
      <c r="CI240" s="45"/>
      <c r="CJ240" s="45"/>
      <c r="CK240" s="45"/>
      <c r="CL240" s="45"/>
    </row>
    <row r="241" ht="15.75" customHeight="1">
      <c r="K241" s="38"/>
      <c r="R241" s="39"/>
      <c r="Y241" s="39"/>
      <c r="AF241" s="39"/>
      <c r="AM241" s="40"/>
      <c r="AT241" s="40"/>
      <c r="BA241" s="41"/>
      <c r="BH241" s="42"/>
      <c r="BO241" s="42"/>
      <c r="BP241" s="43"/>
      <c r="CB241" s="44"/>
      <c r="CC241" s="39"/>
      <c r="CD241" s="39"/>
      <c r="CE241" s="39"/>
      <c r="CF241" s="40"/>
      <c r="CG241" s="40"/>
      <c r="CH241" s="41"/>
      <c r="CI241" s="45"/>
      <c r="CJ241" s="45"/>
      <c r="CK241" s="45"/>
      <c r="CL241" s="45"/>
    </row>
    <row r="242" ht="15.75" customHeight="1">
      <c r="K242" s="38"/>
      <c r="R242" s="39"/>
      <c r="Y242" s="39"/>
      <c r="AF242" s="39"/>
      <c r="AM242" s="40"/>
      <c r="AT242" s="40"/>
      <c r="BA242" s="41"/>
      <c r="BH242" s="42"/>
      <c r="BO242" s="42"/>
      <c r="BP242" s="43"/>
      <c r="CB242" s="44"/>
      <c r="CC242" s="39"/>
      <c r="CD242" s="39"/>
      <c r="CE242" s="39"/>
      <c r="CF242" s="40"/>
      <c r="CG242" s="40"/>
      <c r="CH242" s="41"/>
      <c r="CI242" s="45"/>
      <c r="CJ242" s="45"/>
      <c r="CK242" s="45"/>
      <c r="CL242" s="45"/>
    </row>
    <row r="243" ht="15.75" customHeight="1">
      <c r="K243" s="38"/>
      <c r="R243" s="39"/>
      <c r="Y243" s="39"/>
      <c r="AF243" s="39"/>
      <c r="AM243" s="40"/>
      <c r="AT243" s="40"/>
      <c r="BA243" s="41"/>
      <c r="BH243" s="42"/>
      <c r="BO243" s="42"/>
      <c r="BP243" s="43"/>
      <c r="CB243" s="44"/>
      <c r="CC243" s="39"/>
      <c r="CD243" s="39"/>
      <c r="CE243" s="39"/>
      <c r="CF243" s="40"/>
      <c r="CG243" s="40"/>
      <c r="CH243" s="41"/>
      <c r="CI243" s="45"/>
      <c r="CJ243" s="45"/>
      <c r="CK243" s="45"/>
      <c r="CL243" s="45"/>
    </row>
    <row r="244" ht="15.75" customHeight="1">
      <c r="K244" s="38"/>
      <c r="R244" s="39"/>
      <c r="Y244" s="39"/>
      <c r="AF244" s="39"/>
      <c r="AM244" s="40"/>
      <c r="AT244" s="40"/>
      <c r="BA244" s="41"/>
      <c r="BH244" s="42"/>
      <c r="BO244" s="42"/>
      <c r="BP244" s="43"/>
      <c r="CB244" s="44"/>
      <c r="CC244" s="39"/>
      <c r="CD244" s="39"/>
      <c r="CE244" s="39"/>
      <c r="CF244" s="40"/>
      <c r="CG244" s="40"/>
      <c r="CH244" s="41"/>
      <c r="CI244" s="45"/>
      <c r="CJ244" s="45"/>
      <c r="CK244" s="45"/>
      <c r="CL244" s="45"/>
    </row>
    <row r="245" ht="15.75" customHeight="1">
      <c r="K245" s="38"/>
      <c r="R245" s="39"/>
      <c r="Y245" s="39"/>
      <c r="AF245" s="39"/>
      <c r="AM245" s="40"/>
      <c r="AT245" s="40"/>
      <c r="BA245" s="41"/>
      <c r="BH245" s="42"/>
      <c r="BO245" s="42"/>
      <c r="BP245" s="43"/>
      <c r="CB245" s="44"/>
      <c r="CC245" s="39"/>
      <c r="CD245" s="39"/>
      <c r="CE245" s="39"/>
      <c r="CF245" s="40"/>
      <c r="CG245" s="40"/>
      <c r="CH245" s="41"/>
      <c r="CI245" s="45"/>
      <c r="CJ245" s="45"/>
      <c r="CK245" s="45"/>
      <c r="CL245" s="45"/>
    </row>
    <row r="246" ht="15.75" customHeight="1">
      <c r="K246" s="38"/>
      <c r="R246" s="39"/>
      <c r="Y246" s="39"/>
      <c r="AF246" s="39"/>
      <c r="AM246" s="40"/>
      <c r="AT246" s="40"/>
      <c r="BA246" s="41"/>
      <c r="BH246" s="42"/>
      <c r="BO246" s="42"/>
      <c r="BP246" s="43"/>
      <c r="CB246" s="44"/>
      <c r="CC246" s="39"/>
      <c r="CD246" s="39"/>
      <c r="CE246" s="39"/>
      <c r="CF246" s="40"/>
      <c r="CG246" s="40"/>
      <c r="CH246" s="41"/>
      <c r="CI246" s="45"/>
      <c r="CJ246" s="45"/>
      <c r="CK246" s="45"/>
      <c r="CL246" s="45"/>
    </row>
    <row r="247" ht="15.75" customHeight="1">
      <c r="K247" s="38"/>
      <c r="R247" s="39"/>
      <c r="Y247" s="39"/>
      <c r="AF247" s="39"/>
      <c r="AM247" s="40"/>
      <c r="AT247" s="40"/>
      <c r="BA247" s="41"/>
      <c r="BH247" s="42"/>
      <c r="BO247" s="42"/>
      <c r="BP247" s="43"/>
      <c r="CB247" s="44"/>
      <c r="CC247" s="39"/>
      <c r="CD247" s="39"/>
      <c r="CE247" s="39"/>
      <c r="CF247" s="40"/>
      <c r="CG247" s="40"/>
      <c r="CH247" s="41"/>
      <c r="CI247" s="45"/>
      <c r="CJ247" s="45"/>
      <c r="CK247" s="45"/>
      <c r="CL247" s="45"/>
    </row>
    <row r="248" ht="15.75" customHeight="1">
      <c r="K248" s="38"/>
      <c r="R248" s="39"/>
      <c r="Y248" s="39"/>
      <c r="AF248" s="39"/>
      <c r="AM248" s="40"/>
      <c r="AT248" s="40"/>
      <c r="BA248" s="41"/>
      <c r="BH248" s="42"/>
      <c r="BO248" s="42"/>
      <c r="BP248" s="43"/>
      <c r="CB248" s="44"/>
      <c r="CC248" s="39"/>
      <c r="CD248" s="39"/>
      <c r="CE248" s="39"/>
      <c r="CF248" s="40"/>
      <c r="CG248" s="40"/>
      <c r="CH248" s="41"/>
      <c r="CI248" s="45"/>
      <c r="CJ248" s="45"/>
      <c r="CK248" s="45"/>
      <c r="CL248" s="45"/>
    </row>
    <row r="249" ht="15.75" customHeight="1">
      <c r="K249" s="38"/>
      <c r="R249" s="39"/>
      <c r="Y249" s="39"/>
      <c r="AF249" s="39"/>
      <c r="AM249" s="40"/>
      <c r="AT249" s="40"/>
      <c r="BA249" s="41"/>
      <c r="BH249" s="42"/>
      <c r="BO249" s="42"/>
      <c r="BP249" s="43"/>
      <c r="CB249" s="44"/>
      <c r="CC249" s="39"/>
      <c r="CD249" s="39"/>
      <c r="CE249" s="39"/>
      <c r="CF249" s="40"/>
      <c r="CG249" s="40"/>
      <c r="CH249" s="41"/>
      <c r="CI249" s="45"/>
      <c r="CJ249" s="45"/>
      <c r="CK249" s="45"/>
      <c r="CL249" s="45"/>
    </row>
    <row r="250" ht="15.75" customHeight="1">
      <c r="K250" s="38"/>
      <c r="R250" s="39"/>
      <c r="Y250" s="39"/>
      <c r="AF250" s="39"/>
      <c r="AM250" s="40"/>
      <c r="AT250" s="40"/>
      <c r="BA250" s="41"/>
      <c r="BH250" s="42"/>
      <c r="BO250" s="42"/>
      <c r="BP250" s="43"/>
      <c r="CB250" s="44"/>
      <c r="CC250" s="39"/>
      <c r="CD250" s="39"/>
      <c r="CE250" s="39"/>
      <c r="CF250" s="40"/>
      <c r="CG250" s="40"/>
      <c r="CH250" s="41"/>
      <c r="CI250" s="45"/>
      <c r="CJ250" s="45"/>
      <c r="CK250" s="45"/>
      <c r="CL250" s="45"/>
    </row>
    <row r="251" ht="15.75" customHeight="1">
      <c r="K251" s="38"/>
      <c r="R251" s="39"/>
      <c r="Y251" s="39"/>
      <c r="AF251" s="39"/>
      <c r="AM251" s="40"/>
      <c r="AT251" s="40"/>
      <c r="BA251" s="41"/>
      <c r="BH251" s="42"/>
      <c r="BO251" s="42"/>
      <c r="BP251" s="43"/>
      <c r="CB251" s="44"/>
      <c r="CC251" s="39"/>
      <c r="CD251" s="39"/>
      <c r="CE251" s="39"/>
      <c r="CF251" s="40"/>
      <c r="CG251" s="40"/>
      <c r="CH251" s="41"/>
      <c r="CI251" s="45"/>
      <c r="CJ251" s="45"/>
      <c r="CK251" s="45"/>
      <c r="CL251" s="45"/>
    </row>
    <row r="252" ht="15.75" customHeight="1">
      <c r="K252" s="38"/>
      <c r="R252" s="39"/>
      <c r="Y252" s="39"/>
      <c r="AF252" s="39"/>
      <c r="AM252" s="40"/>
      <c r="AT252" s="40"/>
      <c r="BA252" s="41"/>
      <c r="BH252" s="42"/>
      <c r="BO252" s="42"/>
      <c r="BP252" s="43"/>
      <c r="CB252" s="44"/>
      <c r="CC252" s="39"/>
      <c r="CD252" s="39"/>
      <c r="CE252" s="39"/>
      <c r="CF252" s="40"/>
      <c r="CG252" s="40"/>
      <c r="CH252" s="41"/>
      <c r="CI252" s="45"/>
      <c r="CJ252" s="45"/>
      <c r="CK252" s="45"/>
      <c r="CL252" s="45"/>
    </row>
    <row r="253" ht="15.75" customHeight="1">
      <c r="K253" s="38"/>
      <c r="R253" s="39"/>
      <c r="Y253" s="39"/>
      <c r="AF253" s="39"/>
      <c r="AM253" s="40"/>
      <c r="AT253" s="40"/>
      <c r="BA253" s="41"/>
      <c r="BH253" s="42"/>
      <c r="BO253" s="42"/>
      <c r="BP253" s="43"/>
      <c r="CB253" s="44"/>
      <c r="CC253" s="39"/>
      <c r="CD253" s="39"/>
      <c r="CE253" s="39"/>
      <c r="CF253" s="40"/>
      <c r="CG253" s="40"/>
      <c r="CH253" s="41"/>
      <c r="CI253" s="45"/>
      <c r="CJ253" s="45"/>
      <c r="CK253" s="45"/>
      <c r="CL253" s="45"/>
    </row>
    <row r="254" ht="15.75" customHeight="1">
      <c r="K254" s="38"/>
      <c r="R254" s="39"/>
      <c r="Y254" s="39"/>
      <c r="AF254" s="39"/>
      <c r="AM254" s="40"/>
      <c r="AT254" s="40"/>
      <c r="BA254" s="41"/>
      <c r="BH254" s="42"/>
      <c r="BO254" s="42"/>
      <c r="BP254" s="43"/>
      <c r="CB254" s="44"/>
      <c r="CC254" s="39"/>
      <c r="CD254" s="39"/>
      <c r="CE254" s="39"/>
      <c r="CF254" s="40"/>
      <c r="CG254" s="40"/>
      <c r="CH254" s="41"/>
      <c r="CI254" s="45"/>
      <c r="CJ254" s="45"/>
      <c r="CK254" s="45"/>
      <c r="CL254" s="45"/>
    </row>
    <row r="255" ht="15.75" customHeight="1">
      <c r="K255" s="38"/>
      <c r="R255" s="39"/>
      <c r="Y255" s="39"/>
      <c r="AF255" s="39"/>
      <c r="AM255" s="40"/>
      <c r="AT255" s="40"/>
      <c r="BA255" s="41"/>
      <c r="BH255" s="42"/>
      <c r="BO255" s="42"/>
      <c r="BP255" s="43"/>
      <c r="CB255" s="44"/>
      <c r="CC255" s="39"/>
      <c r="CD255" s="39"/>
      <c r="CE255" s="39"/>
      <c r="CF255" s="40"/>
      <c r="CG255" s="40"/>
      <c r="CH255" s="41"/>
      <c r="CI255" s="45"/>
      <c r="CJ255" s="45"/>
      <c r="CK255" s="45"/>
      <c r="CL255" s="45"/>
    </row>
    <row r="256" ht="15.75" customHeight="1">
      <c r="K256" s="38"/>
      <c r="R256" s="39"/>
      <c r="Y256" s="39"/>
      <c r="AF256" s="39"/>
      <c r="AM256" s="40"/>
      <c r="AT256" s="40"/>
      <c r="BA256" s="41"/>
      <c r="BH256" s="42"/>
      <c r="BO256" s="42"/>
      <c r="BP256" s="43"/>
      <c r="CB256" s="44"/>
      <c r="CC256" s="39"/>
      <c r="CD256" s="39"/>
      <c r="CE256" s="39"/>
      <c r="CF256" s="40"/>
      <c r="CG256" s="40"/>
      <c r="CH256" s="41"/>
      <c r="CI256" s="45"/>
      <c r="CJ256" s="45"/>
      <c r="CK256" s="45"/>
      <c r="CL256" s="45"/>
    </row>
    <row r="257" ht="15.75" customHeight="1">
      <c r="K257" s="38"/>
      <c r="R257" s="39"/>
      <c r="Y257" s="39"/>
      <c r="AF257" s="39"/>
      <c r="AM257" s="40"/>
      <c r="AT257" s="40"/>
      <c r="BA257" s="41"/>
      <c r="BH257" s="42"/>
      <c r="BO257" s="42"/>
      <c r="BP257" s="43"/>
      <c r="CB257" s="44"/>
      <c r="CC257" s="39"/>
      <c r="CD257" s="39"/>
      <c r="CE257" s="39"/>
      <c r="CF257" s="40"/>
      <c r="CG257" s="40"/>
      <c r="CH257" s="41"/>
      <c r="CI257" s="45"/>
      <c r="CJ257" s="45"/>
      <c r="CK257" s="45"/>
      <c r="CL257" s="45"/>
    </row>
    <row r="258" ht="15.75" customHeight="1">
      <c r="K258" s="38"/>
      <c r="R258" s="39"/>
      <c r="Y258" s="39"/>
      <c r="AF258" s="39"/>
      <c r="AM258" s="40"/>
      <c r="AT258" s="40"/>
      <c r="BA258" s="41"/>
      <c r="BH258" s="42"/>
      <c r="BO258" s="42"/>
      <c r="BP258" s="43"/>
      <c r="CB258" s="44"/>
      <c r="CC258" s="39"/>
      <c r="CD258" s="39"/>
      <c r="CE258" s="39"/>
      <c r="CF258" s="40"/>
      <c r="CG258" s="40"/>
      <c r="CH258" s="41"/>
      <c r="CI258" s="45"/>
      <c r="CJ258" s="45"/>
      <c r="CK258" s="45"/>
      <c r="CL258" s="45"/>
    </row>
    <row r="259" ht="15.75" customHeight="1">
      <c r="K259" s="38"/>
      <c r="R259" s="39"/>
      <c r="Y259" s="39"/>
      <c r="AF259" s="39"/>
      <c r="AM259" s="40"/>
      <c r="AT259" s="40"/>
      <c r="BA259" s="41"/>
      <c r="BH259" s="42"/>
      <c r="BO259" s="42"/>
      <c r="BP259" s="43"/>
      <c r="CB259" s="44"/>
      <c r="CC259" s="39"/>
      <c r="CD259" s="39"/>
      <c r="CE259" s="39"/>
      <c r="CF259" s="40"/>
      <c r="CG259" s="40"/>
      <c r="CH259" s="41"/>
      <c r="CI259" s="45"/>
      <c r="CJ259" s="45"/>
      <c r="CK259" s="45"/>
      <c r="CL259" s="45"/>
    </row>
    <row r="260" ht="15.75" customHeight="1">
      <c r="K260" s="38"/>
      <c r="R260" s="39"/>
      <c r="Y260" s="39"/>
      <c r="AF260" s="39"/>
      <c r="AM260" s="40"/>
      <c r="AT260" s="40"/>
      <c r="BA260" s="41"/>
      <c r="BH260" s="42"/>
      <c r="BO260" s="42"/>
      <c r="BP260" s="43"/>
      <c r="CB260" s="44"/>
      <c r="CC260" s="39"/>
      <c r="CD260" s="39"/>
      <c r="CE260" s="39"/>
      <c r="CF260" s="40"/>
      <c r="CG260" s="40"/>
      <c r="CH260" s="41"/>
      <c r="CI260" s="45"/>
      <c r="CJ260" s="45"/>
      <c r="CK260" s="45"/>
      <c r="CL260" s="45"/>
    </row>
    <row r="261" ht="15.75" customHeight="1">
      <c r="K261" s="38"/>
      <c r="R261" s="39"/>
      <c r="Y261" s="39"/>
      <c r="AF261" s="39"/>
      <c r="AM261" s="40"/>
      <c r="AT261" s="40"/>
      <c r="BA261" s="41"/>
      <c r="BH261" s="42"/>
      <c r="BO261" s="42"/>
      <c r="BP261" s="43"/>
      <c r="CB261" s="44"/>
      <c r="CC261" s="39"/>
      <c r="CD261" s="39"/>
      <c r="CE261" s="39"/>
      <c r="CF261" s="40"/>
      <c r="CG261" s="40"/>
      <c r="CH261" s="41"/>
      <c r="CI261" s="45"/>
      <c r="CJ261" s="45"/>
      <c r="CK261" s="45"/>
      <c r="CL261" s="45"/>
    </row>
    <row r="262" ht="15.75" customHeight="1">
      <c r="K262" s="38"/>
      <c r="R262" s="39"/>
      <c r="Y262" s="39"/>
      <c r="AF262" s="39"/>
      <c r="AM262" s="40"/>
      <c r="AT262" s="40"/>
      <c r="BA262" s="41"/>
      <c r="BH262" s="42"/>
      <c r="BO262" s="42"/>
      <c r="BP262" s="43"/>
      <c r="CB262" s="44"/>
      <c r="CC262" s="39"/>
      <c r="CD262" s="39"/>
      <c r="CE262" s="39"/>
      <c r="CF262" s="40"/>
      <c r="CG262" s="40"/>
      <c r="CH262" s="41"/>
      <c r="CI262" s="45"/>
      <c r="CJ262" s="45"/>
      <c r="CK262" s="45"/>
      <c r="CL262" s="45"/>
    </row>
    <row r="263" ht="15.75" customHeight="1">
      <c r="K263" s="38"/>
      <c r="R263" s="39"/>
      <c r="Y263" s="39"/>
      <c r="AF263" s="39"/>
      <c r="AM263" s="40"/>
      <c r="AT263" s="40"/>
      <c r="BA263" s="41"/>
      <c r="BH263" s="42"/>
      <c r="BO263" s="42"/>
      <c r="BP263" s="43"/>
      <c r="CB263" s="44"/>
      <c r="CC263" s="39"/>
      <c r="CD263" s="39"/>
      <c r="CE263" s="39"/>
      <c r="CF263" s="40"/>
      <c r="CG263" s="40"/>
      <c r="CH263" s="41"/>
      <c r="CI263" s="45"/>
      <c r="CJ263" s="45"/>
      <c r="CK263" s="45"/>
      <c r="CL263" s="45"/>
    </row>
    <row r="264" ht="15.75" customHeight="1">
      <c r="K264" s="38"/>
      <c r="R264" s="39"/>
      <c r="Y264" s="39"/>
      <c r="AF264" s="39"/>
      <c r="AM264" s="40"/>
      <c r="AT264" s="40"/>
      <c r="BA264" s="41"/>
      <c r="BH264" s="42"/>
      <c r="BO264" s="42"/>
      <c r="BP264" s="43"/>
      <c r="CB264" s="44"/>
      <c r="CC264" s="39"/>
      <c r="CD264" s="39"/>
      <c r="CE264" s="39"/>
      <c r="CF264" s="40"/>
      <c r="CG264" s="40"/>
      <c r="CH264" s="41"/>
      <c r="CI264" s="45"/>
      <c r="CJ264" s="45"/>
      <c r="CK264" s="45"/>
      <c r="CL264" s="45"/>
    </row>
    <row r="265" ht="15.75" customHeight="1">
      <c r="K265" s="38"/>
      <c r="R265" s="39"/>
      <c r="Y265" s="39"/>
      <c r="AF265" s="39"/>
      <c r="AM265" s="40"/>
      <c r="AT265" s="40"/>
      <c r="BA265" s="41"/>
      <c r="BH265" s="42"/>
      <c r="BO265" s="42"/>
      <c r="BP265" s="43"/>
      <c r="CB265" s="44"/>
      <c r="CC265" s="39"/>
      <c r="CD265" s="39"/>
      <c r="CE265" s="39"/>
      <c r="CF265" s="40"/>
      <c r="CG265" s="40"/>
      <c r="CH265" s="41"/>
      <c r="CI265" s="45"/>
      <c r="CJ265" s="45"/>
      <c r="CK265" s="45"/>
      <c r="CL265" s="45"/>
    </row>
    <row r="266" ht="15.75" customHeight="1">
      <c r="K266" s="38"/>
      <c r="R266" s="39"/>
      <c r="Y266" s="39"/>
      <c r="AF266" s="39"/>
      <c r="AM266" s="40"/>
      <c r="AT266" s="40"/>
      <c r="BA266" s="41"/>
      <c r="BH266" s="42"/>
      <c r="BO266" s="42"/>
      <c r="BP266" s="43"/>
      <c r="CB266" s="44"/>
      <c r="CC266" s="39"/>
      <c r="CD266" s="39"/>
      <c r="CE266" s="39"/>
      <c r="CF266" s="40"/>
      <c r="CG266" s="40"/>
      <c r="CH266" s="41"/>
      <c r="CI266" s="45"/>
      <c r="CJ266" s="45"/>
      <c r="CK266" s="45"/>
      <c r="CL266" s="45"/>
    </row>
    <row r="267" ht="15.75" customHeight="1">
      <c r="K267" s="38"/>
      <c r="R267" s="39"/>
      <c r="Y267" s="39"/>
      <c r="AF267" s="39"/>
      <c r="AM267" s="40"/>
      <c r="AT267" s="40"/>
      <c r="BA267" s="41"/>
      <c r="BH267" s="42"/>
      <c r="BO267" s="42"/>
      <c r="BP267" s="43"/>
      <c r="CB267" s="44"/>
      <c r="CC267" s="39"/>
      <c r="CD267" s="39"/>
      <c r="CE267" s="39"/>
      <c r="CF267" s="40"/>
      <c r="CG267" s="40"/>
      <c r="CH267" s="41"/>
      <c r="CI267" s="45"/>
      <c r="CJ267" s="45"/>
      <c r="CK267" s="45"/>
      <c r="CL267" s="45"/>
    </row>
    <row r="268" ht="15.75" customHeight="1">
      <c r="K268" s="38"/>
      <c r="R268" s="39"/>
      <c r="Y268" s="39"/>
      <c r="AF268" s="39"/>
      <c r="AM268" s="40"/>
      <c r="AT268" s="40"/>
      <c r="BA268" s="41"/>
      <c r="BH268" s="42"/>
      <c r="BO268" s="42"/>
      <c r="BP268" s="43"/>
      <c r="CB268" s="44"/>
      <c r="CC268" s="39"/>
      <c r="CD268" s="39"/>
      <c r="CE268" s="39"/>
      <c r="CF268" s="40"/>
      <c r="CG268" s="40"/>
      <c r="CH268" s="41"/>
      <c r="CI268" s="45"/>
      <c r="CJ268" s="45"/>
      <c r="CK268" s="45"/>
      <c r="CL268" s="45"/>
    </row>
    <row r="269" ht="15.75" customHeight="1">
      <c r="K269" s="38"/>
      <c r="R269" s="39"/>
      <c r="Y269" s="39"/>
      <c r="AF269" s="39"/>
      <c r="AM269" s="40"/>
      <c r="AT269" s="40"/>
      <c r="BA269" s="41"/>
      <c r="BH269" s="42"/>
      <c r="BO269" s="42"/>
      <c r="BP269" s="43"/>
      <c r="CB269" s="44"/>
      <c r="CC269" s="39"/>
      <c r="CD269" s="39"/>
      <c r="CE269" s="39"/>
      <c r="CF269" s="40"/>
      <c r="CG269" s="40"/>
      <c r="CH269" s="41"/>
      <c r="CI269" s="45"/>
      <c r="CJ269" s="45"/>
      <c r="CK269" s="45"/>
      <c r="CL269" s="45"/>
    </row>
    <row r="270" ht="15.75" customHeight="1">
      <c r="K270" s="38"/>
      <c r="R270" s="39"/>
      <c r="Y270" s="39"/>
      <c r="AF270" s="39"/>
      <c r="AM270" s="40"/>
      <c r="AT270" s="40"/>
      <c r="BA270" s="41"/>
      <c r="BH270" s="42"/>
      <c r="BO270" s="42"/>
      <c r="BP270" s="43"/>
      <c r="CB270" s="44"/>
      <c r="CC270" s="39"/>
      <c r="CD270" s="39"/>
      <c r="CE270" s="39"/>
      <c r="CF270" s="40"/>
      <c r="CG270" s="40"/>
      <c r="CH270" s="41"/>
      <c r="CI270" s="45"/>
      <c r="CJ270" s="45"/>
      <c r="CK270" s="45"/>
      <c r="CL270" s="45"/>
    </row>
    <row r="271" ht="15.75" customHeight="1">
      <c r="K271" s="38"/>
      <c r="R271" s="39"/>
      <c r="Y271" s="39"/>
      <c r="AF271" s="39"/>
      <c r="AM271" s="40"/>
      <c r="AT271" s="40"/>
      <c r="BA271" s="41"/>
      <c r="BH271" s="42"/>
      <c r="BO271" s="42"/>
      <c r="BP271" s="43"/>
      <c r="CB271" s="44"/>
      <c r="CC271" s="39"/>
      <c r="CD271" s="39"/>
      <c r="CE271" s="39"/>
      <c r="CF271" s="40"/>
      <c r="CG271" s="40"/>
      <c r="CH271" s="41"/>
      <c r="CI271" s="45"/>
      <c r="CJ271" s="45"/>
      <c r="CK271" s="45"/>
      <c r="CL271" s="45"/>
    </row>
    <row r="272" ht="15.75" customHeight="1">
      <c r="K272" s="38"/>
      <c r="R272" s="39"/>
      <c r="Y272" s="39"/>
      <c r="AF272" s="39"/>
      <c r="AM272" s="40"/>
      <c r="AT272" s="40"/>
      <c r="BA272" s="41"/>
      <c r="BH272" s="42"/>
      <c r="BO272" s="42"/>
      <c r="BP272" s="43"/>
      <c r="CB272" s="44"/>
      <c r="CC272" s="39"/>
      <c r="CD272" s="39"/>
      <c r="CE272" s="39"/>
      <c r="CF272" s="40"/>
      <c r="CG272" s="40"/>
      <c r="CH272" s="41"/>
      <c r="CI272" s="45"/>
      <c r="CJ272" s="45"/>
      <c r="CK272" s="45"/>
      <c r="CL272" s="45"/>
    </row>
    <row r="273" ht="15.75" customHeight="1">
      <c r="K273" s="38"/>
      <c r="R273" s="39"/>
      <c r="Y273" s="39"/>
      <c r="AF273" s="39"/>
      <c r="AM273" s="40"/>
      <c r="AT273" s="40"/>
      <c r="BA273" s="41"/>
      <c r="BH273" s="42"/>
      <c r="BO273" s="42"/>
      <c r="BP273" s="43"/>
      <c r="CB273" s="44"/>
      <c r="CC273" s="39"/>
      <c r="CD273" s="39"/>
      <c r="CE273" s="39"/>
      <c r="CF273" s="40"/>
      <c r="CG273" s="40"/>
      <c r="CH273" s="41"/>
      <c r="CI273" s="45"/>
      <c r="CJ273" s="45"/>
      <c r="CK273" s="45"/>
      <c r="CL273" s="45"/>
    </row>
    <row r="274" ht="15.75" customHeight="1">
      <c r="K274" s="38"/>
      <c r="R274" s="39"/>
      <c r="Y274" s="39"/>
      <c r="AF274" s="39"/>
      <c r="AM274" s="40"/>
      <c r="AT274" s="40"/>
      <c r="BA274" s="41"/>
      <c r="BH274" s="42"/>
      <c r="BO274" s="42"/>
      <c r="BP274" s="43"/>
      <c r="CB274" s="44"/>
      <c r="CC274" s="39"/>
      <c r="CD274" s="39"/>
      <c r="CE274" s="39"/>
      <c r="CF274" s="40"/>
      <c r="CG274" s="40"/>
      <c r="CH274" s="41"/>
      <c r="CI274" s="45"/>
      <c r="CJ274" s="45"/>
      <c r="CK274" s="45"/>
      <c r="CL274" s="45"/>
    </row>
    <row r="275" ht="15.75" customHeight="1">
      <c r="K275" s="38"/>
      <c r="R275" s="39"/>
      <c r="Y275" s="39"/>
      <c r="AF275" s="39"/>
      <c r="AM275" s="40"/>
      <c r="AT275" s="40"/>
      <c r="BA275" s="41"/>
      <c r="BH275" s="42"/>
      <c r="BO275" s="42"/>
      <c r="BP275" s="43"/>
      <c r="CB275" s="44"/>
      <c r="CC275" s="39"/>
      <c r="CD275" s="39"/>
      <c r="CE275" s="39"/>
      <c r="CF275" s="40"/>
      <c r="CG275" s="40"/>
      <c r="CH275" s="41"/>
      <c r="CI275" s="45"/>
      <c r="CJ275" s="45"/>
      <c r="CK275" s="45"/>
      <c r="CL275" s="45"/>
    </row>
    <row r="276" ht="15.75" customHeight="1">
      <c r="K276" s="38"/>
      <c r="R276" s="39"/>
      <c r="Y276" s="39"/>
      <c r="AF276" s="39"/>
      <c r="AM276" s="40"/>
      <c r="AT276" s="40"/>
      <c r="BA276" s="41"/>
      <c r="BH276" s="42"/>
      <c r="BO276" s="42"/>
      <c r="BP276" s="43"/>
      <c r="CB276" s="44"/>
      <c r="CC276" s="39"/>
      <c r="CD276" s="39"/>
      <c r="CE276" s="39"/>
      <c r="CF276" s="40"/>
      <c r="CG276" s="40"/>
      <c r="CH276" s="41"/>
      <c r="CI276" s="45"/>
      <c r="CJ276" s="45"/>
      <c r="CK276" s="45"/>
      <c r="CL276" s="45"/>
    </row>
    <row r="277" ht="15.75" customHeight="1">
      <c r="K277" s="38"/>
      <c r="R277" s="39"/>
      <c r="Y277" s="39"/>
      <c r="AF277" s="39"/>
      <c r="AM277" s="40"/>
      <c r="AT277" s="40"/>
      <c r="BA277" s="41"/>
      <c r="BH277" s="42"/>
      <c r="BO277" s="42"/>
      <c r="BP277" s="43"/>
      <c r="CB277" s="44"/>
      <c r="CC277" s="39"/>
      <c r="CD277" s="39"/>
      <c r="CE277" s="39"/>
      <c r="CF277" s="40"/>
      <c r="CG277" s="40"/>
      <c r="CH277" s="41"/>
      <c r="CI277" s="45"/>
      <c r="CJ277" s="45"/>
      <c r="CK277" s="45"/>
      <c r="CL277" s="45"/>
    </row>
    <row r="278" ht="15.75" customHeight="1">
      <c r="K278" s="38"/>
      <c r="R278" s="39"/>
      <c r="Y278" s="39"/>
      <c r="AF278" s="39"/>
      <c r="AM278" s="40"/>
      <c r="AT278" s="40"/>
      <c r="BA278" s="41"/>
      <c r="BH278" s="42"/>
      <c r="BO278" s="42"/>
      <c r="BP278" s="43"/>
      <c r="CB278" s="44"/>
      <c r="CC278" s="39"/>
      <c r="CD278" s="39"/>
      <c r="CE278" s="39"/>
      <c r="CF278" s="40"/>
      <c r="CG278" s="40"/>
      <c r="CH278" s="41"/>
      <c r="CI278" s="45"/>
      <c r="CJ278" s="45"/>
      <c r="CK278" s="45"/>
      <c r="CL278" s="45"/>
    </row>
    <row r="279" ht="15.75" customHeight="1">
      <c r="K279" s="38"/>
      <c r="R279" s="39"/>
      <c r="Y279" s="39"/>
      <c r="AF279" s="39"/>
      <c r="AM279" s="40"/>
      <c r="AT279" s="40"/>
      <c r="BA279" s="41"/>
      <c r="BH279" s="42"/>
      <c r="BO279" s="42"/>
      <c r="BP279" s="43"/>
      <c r="CB279" s="44"/>
      <c r="CC279" s="39"/>
      <c r="CD279" s="39"/>
      <c r="CE279" s="39"/>
      <c r="CF279" s="40"/>
      <c r="CG279" s="40"/>
      <c r="CH279" s="41"/>
      <c r="CI279" s="45"/>
      <c r="CJ279" s="45"/>
      <c r="CK279" s="45"/>
      <c r="CL279" s="45"/>
    </row>
    <row r="280" ht="15.75" customHeight="1">
      <c r="K280" s="38"/>
      <c r="R280" s="39"/>
      <c r="Y280" s="39"/>
      <c r="AF280" s="39"/>
      <c r="AM280" s="40"/>
      <c r="AT280" s="40"/>
      <c r="BA280" s="41"/>
      <c r="BH280" s="42"/>
      <c r="BO280" s="42"/>
      <c r="BP280" s="43"/>
      <c r="CB280" s="44"/>
      <c r="CC280" s="39"/>
      <c r="CD280" s="39"/>
      <c r="CE280" s="39"/>
      <c r="CF280" s="40"/>
      <c r="CG280" s="40"/>
      <c r="CH280" s="41"/>
      <c r="CI280" s="45"/>
      <c r="CJ280" s="45"/>
      <c r="CK280" s="45"/>
      <c r="CL280" s="45"/>
    </row>
    <row r="281" ht="15.75" customHeight="1">
      <c r="K281" s="38"/>
      <c r="R281" s="39"/>
      <c r="Y281" s="39"/>
      <c r="AF281" s="39"/>
      <c r="AM281" s="40"/>
      <c r="AT281" s="40"/>
      <c r="BA281" s="41"/>
      <c r="BH281" s="42"/>
      <c r="BO281" s="42"/>
      <c r="BP281" s="43"/>
      <c r="CB281" s="44"/>
      <c r="CC281" s="39"/>
      <c r="CD281" s="39"/>
      <c r="CE281" s="39"/>
      <c r="CF281" s="40"/>
      <c r="CG281" s="40"/>
      <c r="CH281" s="41"/>
      <c r="CI281" s="45"/>
      <c r="CJ281" s="45"/>
      <c r="CK281" s="45"/>
      <c r="CL281" s="45"/>
    </row>
    <row r="282" ht="15.75" customHeight="1">
      <c r="K282" s="38"/>
      <c r="R282" s="39"/>
      <c r="Y282" s="39"/>
      <c r="AF282" s="39"/>
      <c r="AM282" s="40"/>
      <c r="AT282" s="40"/>
      <c r="BA282" s="41"/>
      <c r="BH282" s="42"/>
      <c r="BO282" s="42"/>
      <c r="BP282" s="43"/>
      <c r="CB282" s="44"/>
      <c r="CC282" s="39"/>
      <c r="CD282" s="39"/>
      <c r="CE282" s="39"/>
      <c r="CF282" s="40"/>
      <c r="CG282" s="40"/>
      <c r="CH282" s="41"/>
      <c r="CI282" s="45"/>
      <c r="CJ282" s="45"/>
      <c r="CK282" s="45"/>
      <c r="CL282" s="45"/>
    </row>
    <row r="283" ht="15.75" customHeight="1">
      <c r="K283" s="38"/>
      <c r="R283" s="39"/>
      <c r="Y283" s="39"/>
      <c r="AF283" s="39"/>
      <c r="AM283" s="40"/>
      <c r="AT283" s="40"/>
      <c r="BA283" s="41"/>
      <c r="BH283" s="42"/>
      <c r="BO283" s="42"/>
      <c r="BP283" s="43"/>
      <c r="CB283" s="44"/>
      <c r="CC283" s="39"/>
      <c r="CD283" s="39"/>
      <c r="CE283" s="39"/>
      <c r="CF283" s="40"/>
      <c r="CG283" s="40"/>
      <c r="CH283" s="41"/>
      <c r="CI283" s="45"/>
      <c r="CJ283" s="45"/>
      <c r="CK283" s="45"/>
      <c r="CL283" s="45"/>
    </row>
    <row r="284" ht="15.75" customHeight="1">
      <c r="K284" s="38"/>
      <c r="R284" s="39"/>
      <c r="Y284" s="39"/>
      <c r="AF284" s="39"/>
      <c r="AM284" s="40"/>
      <c r="AT284" s="40"/>
      <c r="BA284" s="41"/>
      <c r="BH284" s="42"/>
      <c r="BO284" s="42"/>
      <c r="BP284" s="43"/>
      <c r="CB284" s="44"/>
      <c r="CC284" s="39"/>
      <c r="CD284" s="39"/>
      <c r="CE284" s="39"/>
      <c r="CF284" s="40"/>
      <c r="CG284" s="40"/>
      <c r="CH284" s="41"/>
      <c r="CI284" s="45"/>
      <c r="CJ284" s="45"/>
      <c r="CK284" s="45"/>
      <c r="CL284" s="45"/>
    </row>
    <row r="285" ht="15.75" customHeight="1">
      <c r="K285" s="38"/>
      <c r="R285" s="39"/>
      <c r="Y285" s="39"/>
      <c r="AF285" s="39"/>
      <c r="AM285" s="40"/>
      <c r="AT285" s="40"/>
      <c r="BA285" s="41"/>
      <c r="BH285" s="42"/>
      <c r="BO285" s="42"/>
      <c r="BP285" s="43"/>
      <c r="CB285" s="44"/>
      <c r="CC285" s="39"/>
      <c r="CD285" s="39"/>
      <c r="CE285" s="39"/>
      <c r="CF285" s="40"/>
      <c r="CG285" s="40"/>
      <c r="CH285" s="41"/>
      <c r="CI285" s="45"/>
      <c r="CJ285" s="45"/>
      <c r="CK285" s="45"/>
      <c r="CL285" s="45"/>
    </row>
    <row r="286" ht="15.75" customHeight="1">
      <c r="K286" s="38"/>
      <c r="R286" s="39"/>
      <c r="Y286" s="39"/>
      <c r="AF286" s="39"/>
      <c r="AM286" s="40"/>
      <c r="AT286" s="40"/>
      <c r="BA286" s="41"/>
      <c r="BH286" s="42"/>
      <c r="BO286" s="42"/>
      <c r="BP286" s="43"/>
      <c r="CB286" s="44"/>
      <c r="CC286" s="39"/>
      <c r="CD286" s="39"/>
      <c r="CE286" s="39"/>
      <c r="CF286" s="40"/>
      <c r="CG286" s="40"/>
      <c r="CH286" s="41"/>
      <c r="CI286" s="45"/>
      <c r="CJ286" s="45"/>
      <c r="CK286" s="45"/>
      <c r="CL286" s="45"/>
    </row>
    <row r="287" ht="15.75" customHeight="1">
      <c r="K287" s="38"/>
      <c r="R287" s="39"/>
      <c r="Y287" s="39"/>
      <c r="AF287" s="39"/>
      <c r="AM287" s="40"/>
      <c r="AT287" s="40"/>
      <c r="BA287" s="41"/>
      <c r="BH287" s="42"/>
      <c r="BO287" s="42"/>
      <c r="BP287" s="43"/>
      <c r="CB287" s="44"/>
      <c r="CC287" s="39"/>
      <c r="CD287" s="39"/>
      <c r="CE287" s="39"/>
      <c r="CF287" s="40"/>
      <c r="CG287" s="40"/>
      <c r="CH287" s="41"/>
      <c r="CI287" s="45"/>
      <c r="CJ287" s="45"/>
      <c r="CK287" s="45"/>
      <c r="CL287" s="45"/>
    </row>
    <row r="288" ht="15.75" customHeight="1">
      <c r="K288" s="38"/>
      <c r="R288" s="39"/>
      <c r="Y288" s="39"/>
      <c r="AF288" s="39"/>
      <c r="AM288" s="40"/>
      <c r="AT288" s="40"/>
      <c r="BA288" s="41"/>
      <c r="BH288" s="42"/>
      <c r="BO288" s="42"/>
      <c r="BP288" s="43"/>
      <c r="CB288" s="44"/>
      <c r="CC288" s="39"/>
      <c r="CD288" s="39"/>
      <c r="CE288" s="39"/>
      <c r="CF288" s="40"/>
      <c r="CG288" s="40"/>
      <c r="CH288" s="41"/>
      <c r="CI288" s="45"/>
      <c r="CJ288" s="45"/>
      <c r="CK288" s="45"/>
      <c r="CL288" s="45"/>
    </row>
    <row r="289" ht="15.75" customHeight="1">
      <c r="K289" s="38"/>
      <c r="R289" s="39"/>
      <c r="Y289" s="39"/>
      <c r="AF289" s="39"/>
      <c r="AM289" s="40"/>
      <c r="AT289" s="40"/>
      <c r="BA289" s="41"/>
      <c r="BH289" s="42"/>
      <c r="BO289" s="42"/>
      <c r="BP289" s="43"/>
      <c r="CB289" s="44"/>
      <c r="CC289" s="39"/>
      <c r="CD289" s="39"/>
      <c r="CE289" s="39"/>
      <c r="CF289" s="40"/>
      <c r="CG289" s="40"/>
      <c r="CH289" s="41"/>
      <c r="CI289" s="45"/>
      <c r="CJ289" s="45"/>
      <c r="CK289" s="45"/>
      <c r="CL289" s="45"/>
    </row>
    <row r="290" ht="15.75" customHeight="1">
      <c r="K290" s="38"/>
      <c r="R290" s="39"/>
      <c r="Y290" s="39"/>
      <c r="AF290" s="39"/>
      <c r="AM290" s="40"/>
      <c r="AT290" s="40"/>
      <c r="BA290" s="41"/>
      <c r="BH290" s="42"/>
      <c r="BO290" s="42"/>
      <c r="BP290" s="43"/>
      <c r="CB290" s="44"/>
      <c r="CC290" s="39"/>
      <c r="CD290" s="39"/>
      <c r="CE290" s="39"/>
      <c r="CF290" s="40"/>
      <c r="CG290" s="40"/>
      <c r="CH290" s="41"/>
      <c r="CI290" s="45"/>
      <c r="CJ290" s="45"/>
      <c r="CK290" s="45"/>
      <c r="CL290" s="45"/>
    </row>
    <row r="291" ht="15.75" customHeight="1">
      <c r="K291" s="38"/>
      <c r="R291" s="39"/>
      <c r="Y291" s="39"/>
      <c r="AF291" s="39"/>
      <c r="AM291" s="40"/>
      <c r="AT291" s="40"/>
      <c r="BA291" s="41"/>
      <c r="BH291" s="42"/>
      <c r="BO291" s="42"/>
      <c r="BP291" s="43"/>
      <c r="CB291" s="44"/>
      <c r="CC291" s="39"/>
      <c r="CD291" s="39"/>
      <c r="CE291" s="39"/>
      <c r="CF291" s="40"/>
      <c r="CG291" s="40"/>
      <c r="CH291" s="41"/>
      <c r="CI291" s="45"/>
      <c r="CJ291" s="45"/>
      <c r="CK291" s="45"/>
      <c r="CL291" s="45"/>
    </row>
    <row r="292" ht="15.75" customHeight="1">
      <c r="K292" s="38"/>
      <c r="R292" s="39"/>
      <c r="Y292" s="39"/>
      <c r="AF292" s="39"/>
      <c r="AM292" s="40"/>
      <c r="AT292" s="40"/>
      <c r="BA292" s="41"/>
      <c r="BH292" s="42"/>
      <c r="BO292" s="42"/>
      <c r="BP292" s="43"/>
      <c r="CB292" s="44"/>
      <c r="CC292" s="39"/>
      <c r="CD292" s="39"/>
      <c r="CE292" s="39"/>
      <c r="CF292" s="40"/>
      <c r="CG292" s="40"/>
      <c r="CH292" s="41"/>
      <c r="CI292" s="45"/>
      <c r="CJ292" s="45"/>
      <c r="CK292" s="45"/>
      <c r="CL292" s="45"/>
    </row>
    <row r="293" ht="15.75" customHeight="1">
      <c r="K293" s="38"/>
      <c r="R293" s="39"/>
      <c r="Y293" s="39"/>
      <c r="AF293" s="39"/>
      <c r="AM293" s="40"/>
      <c r="AT293" s="40"/>
      <c r="BA293" s="41"/>
      <c r="BH293" s="42"/>
      <c r="BO293" s="42"/>
      <c r="BP293" s="43"/>
      <c r="CB293" s="44"/>
      <c r="CC293" s="39"/>
      <c r="CD293" s="39"/>
      <c r="CE293" s="39"/>
      <c r="CF293" s="40"/>
      <c r="CG293" s="40"/>
      <c r="CH293" s="41"/>
      <c r="CI293" s="45"/>
      <c r="CJ293" s="45"/>
      <c r="CK293" s="45"/>
      <c r="CL293" s="45"/>
    </row>
    <row r="294" ht="15.75" customHeight="1">
      <c r="K294" s="38"/>
      <c r="R294" s="39"/>
      <c r="Y294" s="39"/>
      <c r="AF294" s="39"/>
      <c r="AM294" s="40"/>
      <c r="AT294" s="40"/>
      <c r="BA294" s="41"/>
      <c r="BH294" s="42"/>
      <c r="BO294" s="42"/>
      <c r="BP294" s="43"/>
      <c r="CB294" s="44"/>
      <c r="CC294" s="39"/>
      <c r="CD294" s="39"/>
      <c r="CE294" s="39"/>
      <c r="CF294" s="40"/>
      <c r="CG294" s="40"/>
      <c r="CH294" s="41"/>
      <c r="CI294" s="45"/>
      <c r="CJ294" s="45"/>
      <c r="CK294" s="45"/>
      <c r="CL294" s="45"/>
    </row>
    <row r="295" ht="15.75" customHeight="1">
      <c r="K295" s="38"/>
      <c r="R295" s="39"/>
      <c r="Y295" s="39"/>
      <c r="AF295" s="39"/>
      <c r="AM295" s="40"/>
      <c r="AT295" s="40"/>
      <c r="BA295" s="41"/>
      <c r="BH295" s="42"/>
      <c r="BO295" s="42"/>
      <c r="BP295" s="43"/>
      <c r="CB295" s="44"/>
      <c r="CC295" s="39"/>
      <c r="CD295" s="39"/>
      <c r="CE295" s="39"/>
      <c r="CF295" s="40"/>
      <c r="CG295" s="40"/>
      <c r="CH295" s="41"/>
      <c r="CI295" s="45"/>
      <c r="CJ295" s="45"/>
      <c r="CK295" s="45"/>
      <c r="CL295" s="45"/>
    </row>
    <row r="296" ht="15.75" customHeight="1">
      <c r="K296" s="38"/>
      <c r="R296" s="39"/>
      <c r="Y296" s="39"/>
      <c r="AF296" s="39"/>
      <c r="AM296" s="40"/>
      <c r="AT296" s="40"/>
      <c r="BA296" s="41"/>
      <c r="BH296" s="42"/>
      <c r="BO296" s="42"/>
      <c r="BP296" s="43"/>
      <c r="CB296" s="44"/>
      <c r="CC296" s="39"/>
      <c r="CD296" s="39"/>
      <c r="CE296" s="39"/>
      <c r="CF296" s="40"/>
      <c r="CG296" s="40"/>
      <c r="CH296" s="41"/>
      <c r="CI296" s="45"/>
      <c r="CJ296" s="45"/>
      <c r="CK296" s="45"/>
      <c r="CL296" s="45"/>
    </row>
    <row r="297" ht="15.75" customHeight="1">
      <c r="K297" s="38"/>
      <c r="R297" s="39"/>
      <c r="Y297" s="39"/>
      <c r="AF297" s="39"/>
      <c r="AM297" s="40"/>
      <c r="AT297" s="40"/>
      <c r="BA297" s="41"/>
      <c r="BH297" s="42"/>
      <c r="BO297" s="42"/>
      <c r="BP297" s="43"/>
      <c r="CB297" s="44"/>
      <c r="CC297" s="39"/>
      <c r="CD297" s="39"/>
      <c r="CE297" s="39"/>
      <c r="CF297" s="40"/>
      <c r="CG297" s="40"/>
      <c r="CH297" s="41"/>
      <c r="CI297" s="45"/>
      <c r="CJ297" s="45"/>
      <c r="CK297" s="45"/>
      <c r="CL297" s="45"/>
    </row>
    <row r="298" ht="15.75" customHeight="1">
      <c r="K298" s="38"/>
      <c r="R298" s="39"/>
      <c r="Y298" s="39"/>
      <c r="AF298" s="39"/>
      <c r="AM298" s="40"/>
      <c r="AT298" s="40"/>
      <c r="BA298" s="41"/>
      <c r="BH298" s="42"/>
      <c r="BO298" s="42"/>
      <c r="BP298" s="43"/>
      <c r="CB298" s="44"/>
      <c r="CC298" s="39"/>
      <c r="CD298" s="39"/>
      <c r="CE298" s="39"/>
      <c r="CF298" s="40"/>
      <c r="CG298" s="40"/>
      <c r="CH298" s="41"/>
      <c r="CI298" s="45"/>
      <c r="CJ298" s="45"/>
      <c r="CK298" s="45"/>
      <c r="CL298" s="45"/>
    </row>
    <row r="299" ht="15.75" customHeight="1">
      <c r="K299" s="38"/>
      <c r="R299" s="39"/>
      <c r="Y299" s="39"/>
      <c r="AF299" s="39"/>
      <c r="AM299" s="40"/>
      <c r="AT299" s="40"/>
      <c r="BA299" s="41"/>
      <c r="BH299" s="42"/>
      <c r="BO299" s="42"/>
      <c r="BP299" s="43"/>
      <c r="CB299" s="44"/>
      <c r="CC299" s="39"/>
      <c r="CD299" s="39"/>
      <c r="CE299" s="39"/>
      <c r="CF299" s="40"/>
      <c r="CG299" s="40"/>
      <c r="CH299" s="41"/>
      <c r="CI299" s="45"/>
      <c r="CJ299" s="45"/>
      <c r="CK299" s="45"/>
      <c r="CL299" s="45"/>
    </row>
    <row r="300" ht="15.75" customHeight="1">
      <c r="K300" s="38"/>
      <c r="R300" s="39"/>
      <c r="Y300" s="39"/>
      <c r="AF300" s="39"/>
      <c r="AM300" s="40"/>
      <c r="AT300" s="40"/>
      <c r="BA300" s="41"/>
      <c r="BH300" s="42"/>
      <c r="BO300" s="42"/>
      <c r="BP300" s="43"/>
      <c r="CB300" s="44"/>
      <c r="CC300" s="39"/>
      <c r="CD300" s="39"/>
      <c r="CE300" s="39"/>
      <c r="CF300" s="40"/>
      <c r="CG300" s="40"/>
      <c r="CH300" s="41"/>
      <c r="CI300" s="45"/>
      <c r="CJ300" s="45"/>
      <c r="CK300" s="45"/>
      <c r="CL300" s="45"/>
    </row>
    <row r="301" ht="15.75" customHeight="1">
      <c r="K301" s="38"/>
      <c r="R301" s="39"/>
      <c r="Y301" s="39"/>
      <c r="AF301" s="39"/>
      <c r="AM301" s="40"/>
      <c r="AT301" s="40"/>
      <c r="BA301" s="41"/>
      <c r="BH301" s="42"/>
      <c r="BO301" s="42"/>
      <c r="BP301" s="43"/>
      <c r="CB301" s="44"/>
      <c r="CC301" s="39"/>
      <c r="CD301" s="39"/>
      <c r="CE301" s="39"/>
      <c r="CF301" s="40"/>
      <c r="CG301" s="40"/>
      <c r="CH301" s="41"/>
      <c r="CI301" s="45"/>
      <c r="CJ301" s="45"/>
      <c r="CK301" s="45"/>
      <c r="CL301" s="45"/>
    </row>
    <row r="302" ht="15.75" customHeight="1">
      <c r="K302" s="38"/>
      <c r="R302" s="39"/>
      <c r="Y302" s="39"/>
      <c r="AF302" s="39"/>
      <c r="AM302" s="40"/>
      <c r="AT302" s="40"/>
      <c r="BA302" s="41"/>
      <c r="BH302" s="42"/>
      <c r="BO302" s="42"/>
      <c r="BP302" s="43"/>
      <c r="CB302" s="44"/>
      <c r="CC302" s="39"/>
      <c r="CD302" s="39"/>
      <c r="CE302" s="39"/>
      <c r="CF302" s="40"/>
      <c r="CG302" s="40"/>
      <c r="CH302" s="41"/>
      <c r="CI302" s="45"/>
      <c r="CJ302" s="45"/>
      <c r="CK302" s="45"/>
      <c r="CL302" s="45"/>
    </row>
    <row r="303" ht="15.75" customHeight="1">
      <c r="K303" s="38"/>
      <c r="R303" s="39"/>
      <c r="Y303" s="39"/>
      <c r="AF303" s="39"/>
      <c r="AM303" s="40"/>
      <c r="AT303" s="40"/>
      <c r="BA303" s="41"/>
      <c r="BH303" s="42"/>
      <c r="BO303" s="42"/>
      <c r="BP303" s="43"/>
      <c r="CB303" s="44"/>
      <c r="CC303" s="39"/>
      <c r="CD303" s="39"/>
      <c r="CE303" s="39"/>
      <c r="CF303" s="40"/>
      <c r="CG303" s="40"/>
      <c r="CH303" s="41"/>
      <c r="CI303" s="45"/>
      <c r="CJ303" s="45"/>
      <c r="CK303" s="45"/>
      <c r="CL303" s="45"/>
    </row>
    <row r="304" ht="15.75" customHeight="1">
      <c r="K304" s="38"/>
      <c r="R304" s="39"/>
      <c r="Y304" s="39"/>
      <c r="AF304" s="39"/>
      <c r="AM304" s="40"/>
      <c r="AT304" s="40"/>
      <c r="BA304" s="41"/>
      <c r="BH304" s="42"/>
      <c r="BO304" s="42"/>
      <c r="BP304" s="43"/>
      <c r="CB304" s="44"/>
      <c r="CC304" s="39"/>
      <c r="CD304" s="39"/>
      <c r="CE304" s="39"/>
      <c r="CF304" s="40"/>
      <c r="CG304" s="40"/>
      <c r="CH304" s="41"/>
      <c r="CI304" s="45"/>
      <c r="CJ304" s="45"/>
      <c r="CK304" s="45"/>
      <c r="CL304" s="45"/>
    </row>
    <row r="305" ht="15.75" customHeight="1">
      <c r="K305" s="38"/>
      <c r="R305" s="39"/>
      <c r="Y305" s="39"/>
      <c r="AF305" s="39"/>
      <c r="AM305" s="40"/>
      <c r="AT305" s="40"/>
      <c r="BA305" s="41"/>
      <c r="BH305" s="42"/>
      <c r="BO305" s="42"/>
      <c r="BP305" s="43"/>
      <c r="CB305" s="44"/>
      <c r="CC305" s="39"/>
      <c r="CD305" s="39"/>
      <c r="CE305" s="39"/>
      <c r="CF305" s="40"/>
      <c r="CG305" s="40"/>
      <c r="CH305" s="41"/>
      <c r="CI305" s="45"/>
      <c r="CJ305" s="45"/>
      <c r="CK305" s="45"/>
      <c r="CL305" s="45"/>
    </row>
    <row r="306" ht="15.75" customHeight="1">
      <c r="K306" s="38"/>
      <c r="R306" s="39"/>
      <c r="Y306" s="39"/>
      <c r="AF306" s="39"/>
      <c r="AM306" s="40"/>
      <c r="AT306" s="40"/>
      <c r="BA306" s="41"/>
      <c r="BH306" s="42"/>
      <c r="BO306" s="42"/>
      <c r="BP306" s="43"/>
      <c r="CB306" s="44"/>
      <c r="CC306" s="39"/>
      <c r="CD306" s="39"/>
      <c r="CE306" s="39"/>
      <c r="CF306" s="40"/>
      <c r="CG306" s="40"/>
      <c r="CH306" s="41"/>
      <c r="CI306" s="45"/>
      <c r="CJ306" s="45"/>
      <c r="CK306" s="45"/>
      <c r="CL306" s="45"/>
    </row>
    <row r="307" ht="15.75" customHeight="1">
      <c r="K307" s="38"/>
      <c r="R307" s="39"/>
      <c r="Y307" s="39"/>
      <c r="AF307" s="39"/>
      <c r="AM307" s="40"/>
      <c r="AT307" s="40"/>
      <c r="BA307" s="41"/>
      <c r="BH307" s="42"/>
      <c r="BO307" s="42"/>
      <c r="BP307" s="43"/>
      <c r="CB307" s="44"/>
      <c r="CC307" s="39"/>
      <c r="CD307" s="39"/>
      <c r="CE307" s="39"/>
      <c r="CF307" s="40"/>
      <c r="CG307" s="40"/>
      <c r="CH307" s="41"/>
      <c r="CI307" s="45"/>
      <c r="CJ307" s="45"/>
      <c r="CK307" s="45"/>
      <c r="CL307" s="45"/>
    </row>
    <row r="308" ht="15.75" customHeight="1">
      <c r="K308" s="38"/>
      <c r="R308" s="39"/>
      <c r="Y308" s="39"/>
      <c r="AF308" s="39"/>
      <c r="AM308" s="40"/>
      <c r="AT308" s="40"/>
      <c r="BA308" s="41"/>
      <c r="BH308" s="42"/>
      <c r="BO308" s="42"/>
      <c r="BP308" s="43"/>
      <c r="CB308" s="44"/>
      <c r="CC308" s="39"/>
      <c r="CD308" s="39"/>
      <c r="CE308" s="39"/>
      <c r="CF308" s="40"/>
      <c r="CG308" s="40"/>
      <c r="CH308" s="41"/>
      <c r="CI308" s="45"/>
      <c r="CJ308" s="45"/>
      <c r="CK308" s="45"/>
      <c r="CL308" s="45"/>
    </row>
    <row r="309" ht="15.75" customHeight="1">
      <c r="K309" s="38"/>
      <c r="R309" s="39"/>
      <c r="Y309" s="39"/>
      <c r="AF309" s="39"/>
      <c r="AM309" s="40"/>
      <c r="AT309" s="40"/>
      <c r="BA309" s="41"/>
      <c r="BH309" s="42"/>
      <c r="BO309" s="42"/>
      <c r="BP309" s="43"/>
      <c r="CB309" s="44"/>
      <c r="CC309" s="39"/>
      <c r="CD309" s="39"/>
      <c r="CE309" s="39"/>
      <c r="CF309" s="40"/>
      <c r="CG309" s="40"/>
      <c r="CH309" s="41"/>
      <c r="CI309" s="45"/>
      <c r="CJ309" s="45"/>
      <c r="CK309" s="45"/>
      <c r="CL309" s="45"/>
    </row>
    <row r="310" ht="15.75" customHeight="1">
      <c r="K310" s="38"/>
      <c r="R310" s="39"/>
      <c r="Y310" s="39"/>
      <c r="AF310" s="39"/>
      <c r="AM310" s="40"/>
      <c r="AT310" s="40"/>
      <c r="BA310" s="41"/>
      <c r="BH310" s="42"/>
      <c r="BO310" s="42"/>
      <c r="BP310" s="43"/>
      <c r="CB310" s="44"/>
      <c r="CC310" s="39"/>
      <c r="CD310" s="39"/>
      <c r="CE310" s="39"/>
      <c r="CF310" s="40"/>
      <c r="CG310" s="40"/>
      <c r="CH310" s="41"/>
      <c r="CI310" s="45"/>
      <c r="CJ310" s="45"/>
      <c r="CK310" s="45"/>
      <c r="CL310" s="45"/>
    </row>
    <row r="311" ht="15.75" customHeight="1">
      <c r="K311" s="38"/>
      <c r="R311" s="39"/>
      <c r="Y311" s="39"/>
      <c r="AF311" s="39"/>
      <c r="AM311" s="40"/>
      <c r="AT311" s="40"/>
      <c r="BA311" s="41"/>
      <c r="BH311" s="42"/>
      <c r="BO311" s="42"/>
      <c r="BP311" s="43"/>
      <c r="CB311" s="44"/>
      <c r="CC311" s="39"/>
      <c r="CD311" s="39"/>
      <c r="CE311" s="39"/>
      <c r="CF311" s="40"/>
      <c r="CG311" s="40"/>
      <c r="CH311" s="41"/>
      <c r="CI311" s="45"/>
      <c r="CJ311" s="45"/>
      <c r="CK311" s="45"/>
      <c r="CL311" s="45"/>
    </row>
    <row r="312" ht="15.75" customHeight="1">
      <c r="K312" s="38"/>
      <c r="R312" s="39"/>
      <c r="Y312" s="39"/>
      <c r="AF312" s="39"/>
      <c r="AM312" s="40"/>
      <c r="AT312" s="40"/>
      <c r="BA312" s="41"/>
      <c r="BH312" s="42"/>
      <c r="BO312" s="42"/>
      <c r="BP312" s="43"/>
      <c r="CB312" s="44"/>
      <c r="CC312" s="39"/>
      <c r="CD312" s="39"/>
      <c r="CE312" s="39"/>
      <c r="CF312" s="40"/>
      <c r="CG312" s="40"/>
      <c r="CH312" s="41"/>
      <c r="CI312" s="45"/>
      <c r="CJ312" s="45"/>
      <c r="CK312" s="45"/>
      <c r="CL312" s="45"/>
    </row>
    <row r="313" ht="15.75" customHeight="1">
      <c r="K313" s="38"/>
      <c r="R313" s="39"/>
      <c r="Y313" s="39"/>
      <c r="AF313" s="39"/>
      <c r="AM313" s="40"/>
      <c r="AT313" s="40"/>
      <c r="BA313" s="41"/>
      <c r="BH313" s="42"/>
      <c r="BO313" s="42"/>
      <c r="BP313" s="43"/>
      <c r="CB313" s="44"/>
      <c r="CC313" s="39"/>
      <c r="CD313" s="39"/>
      <c r="CE313" s="39"/>
      <c r="CF313" s="40"/>
      <c r="CG313" s="40"/>
      <c r="CH313" s="41"/>
      <c r="CI313" s="45"/>
      <c r="CJ313" s="45"/>
      <c r="CK313" s="45"/>
      <c r="CL313" s="45"/>
    </row>
    <row r="314" ht="15.75" customHeight="1">
      <c r="K314" s="38"/>
      <c r="R314" s="39"/>
      <c r="Y314" s="39"/>
      <c r="AF314" s="39"/>
      <c r="AM314" s="40"/>
      <c r="AT314" s="40"/>
      <c r="BA314" s="41"/>
      <c r="BH314" s="42"/>
      <c r="BO314" s="42"/>
      <c r="BP314" s="43"/>
      <c r="CB314" s="44"/>
      <c r="CC314" s="39"/>
      <c r="CD314" s="39"/>
      <c r="CE314" s="39"/>
      <c r="CF314" s="40"/>
      <c r="CG314" s="40"/>
      <c r="CH314" s="41"/>
      <c r="CI314" s="45"/>
      <c r="CJ314" s="45"/>
      <c r="CK314" s="45"/>
      <c r="CL314" s="45"/>
    </row>
    <row r="315" ht="15.75" customHeight="1">
      <c r="K315" s="38"/>
      <c r="R315" s="39"/>
      <c r="Y315" s="39"/>
      <c r="AF315" s="39"/>
      <c r="AM315" s="40"/>
      <c r="AT315" s="40"/>
      <c r="BA315" s="41"/>
      <c r="BH315" s="42"/>
      <c r="BO315" s="42"/>
      <c r="BP315" s="43"/>
      <c r="CB315" s="44"/>
      <c r="CC315" s="39"/>
      <c r="CD315" s="39"/>
      <c r="CE315" s="39"/>
      <c r="CF315" s="40"/>
      <c r="CG315" s="40"/>
      <c r="CH315" s="41"/>
      <c r="CI315" s="45"/>
      <c r="CJ315" s="45"/>
      <c r="CK315" s="45"/>
      <c r="CL315" s="45"/>
    </row>
    <row r="316" ht="15.75" customHeight="1">
      <c r="K316" s="38"/>
      <c r="R316" s="39"/>
      <c r="Y316" s="39"/>
      <c r="AF316" s="39"/>
      <c r="AM316" s="40"/>
      <c r="AT316" s="40"/>
      <c r="BA316" s="41"/>
      <c r="BH316" s="42"/>
      <c r="BO316" s="42"/>
      <c r="BP316" s="43"/>
      <c r="CB316" s="44"/>
      <c r="CC316" s="39"/>
      <c r="CD316" s="39"/>
      <c r="CE316" s="39"/>
      <c r="CF316" s="40"/>
      <c r="CG316" s="40"/>
      <c r="CH316" s="41"/>
      <c r="CI316" s="45"/>
      <c r="CJ316" s="45"/>
      <c r="CK316" s="45"/>
      <c r="CL316" s="45"/>
    </row>
    <row r="317" ht="15.75" customHeight="1">
      <c r="K317" s="38"/>
      <c r="R317" s="39"/>
      <c r="Y317" s="39"/>
      <c r="AF317" s="39"/>
      <c r="AM317" s="40"/>
      <c r="AT317" s="40"/>
      <c r="BA317" s="41"/>
      <c r="BH317" s="42"/>
      <c r="BO317" s="42"/>
      <c r="BP317" s="43"/>
      <c r="CB317" s="44"/>
      <c r="CC317" s="39"/>
      <c r="CD317" s="39"/>
      <c r="CE317" s="39"/>
      <c r="CF317" s="40"/>
      <c r="CG317" s="40"/>
      <c r="CH317" s="41"/>
      <c r="CI317" s="45"/>
      <c r="CJ317" s="45"/>
      <c r="CK317" s="45"/>
      <c r="CL317" s="45"/>
    </row>
    <row r="318" ht="15.75" customHeight="1">
      <c r="K318" s="38"/>
      <c r="R318" s="39"/>
      <c r="Y318" s="39"/>
      <c r="AF318" s="39"/>
      <c r="AM318" s="40"/>
      <c r="AT318" s="40"/>
      <c r="BA318" s="41"/>
      <c r="BH318" s="42"/>
      <c r="BO318" s="42"/>
      <c r="BP318" s="43"/>
      <c r="CB318" s="44"/>
      <c r="CC318" s="39"/>
      <c r="CD318" s="39"/>
      <c r="CE318" s="39"/>
      <c r="CF318" s="40"/>
      <c r="CG318" s="40"/>
      <c r="CH318" s="41"/>
      <c r="CI318" s="45"/>
      <c r="CJ318" s="45"/>
      <c r="CK318" s="45"/>
      <c r="CL318" s="45"/>
    </row>
    <row r="319" ht="15.75" customHeight="1">
      <c r="K319" s="38"/>
      <c r="R319" s="39"/>
      <c r="Y319" s="39"/>
      <c r="AF319" s="39"/>
      <c r="AM319" s="40"/>
      <c r="AT319" s="40"/>
      <c r="BA319" s="41"/>
      <c r="BH319" s="42"/>
      <c r="BO319" s="42"/>
      <c r="BP319" s="43"/>
      <c r="CB319" s="44"/>
      <c r="CC319" s="39"/>
      <c r="CD319" s="39"/>
      <c r="CE319" s="39"/>
      <c r="CF319" s="40"/>
      <c r="CG319" s="40"/>
      <c r="CH319" s="41"/>
      <c r="CI319" s="45"/>
      <c r="CJ319" s="45"/>
      <c r="CK319" s="45"/>
      <c r="CL319" s="45"/>
    </row>
    <row r="320" ht="15.75" customHeight="1">
      <c r="K320" s="38"/>
      <c r="R320" s="39"/>
      <c r="Y320" s="39"/>
      <c r="AF320" s="39"/>
      <c r="AM320" s="40"/>
      <c r="AT320" s="40"/>
      <c r="BA320" s="41"/>
      <c r="BH320" s="42"/>
      <c r="BO320" s="42"/>
      <c r="BP320" s="43"/>
      <c r="CB320" s="44"/>
      <c r="CC320" s="39"/>
      <c r="CD320" s="39"/>
      <c r="CE320" s="39"/>
      <c r="CF320" s="40"/>
      <c r="CG320" s="40"/>
      <c r="CH320" s="41"/>
      <c r="CI320" s="45"/>
      <c r="CJ320" s="45"/>
      <c r="CK320" s="45"/>
      <c r="CL320" s="45"/>
    </row>
    <row r="321" ht="15.75" customHeight="1">
      <c r="K321" s="38"/>
      <c r="R321" s="39"/>
      <c r="Y321" s="39"/>
      <c r="AF321" s="39"/>
      <c r="AM321" s="40"/>
      <c r="AT321" s="40"/>
      <c r="BA321" s="41"/>
      <c r="BH321" s="42"/>
      <c r="BO321" s="42"/>
      <c r="BP321" s="43"/>
      <c r="CB321" s="44"/>
      <c r="CC321" s="39"/>
      <c r="CD321" s="39"/>
      <c r="CE321" s="39"/>
      <c r="CF321" s="40"/>
      <c r="CG321" s="40"/>
      <c r="CH321" s="41"/>
      <c r="CI321" s="45"/>
      <c r="CJ321" s="45"/>
      <c r="CK321" s="45"/>
      <c r="CL321" s="45"/>
    </row>
    <row r="322" ht="15.75" customHeight="1">
      <c r="K322" s="38"/>
      <c r="R322" s="39"/>
      <c r="Y322" s="39"/>
      <c r="AF322" s="39"/>
      <c r="AM322" s="40"/>
      <c r="AT322" s="40"/>
      <c r="BA322" s="41"/>
      <c r="BH322" s="42"/>
      <c r="BO322" s="42"/>
      <c r="BP322" s="43"/>
      <c r="CB322" s="44"/>
      <c r="CC322" s="39"/>
      <c r="CD322" s="39"/>
      <c r="CE322" s="39"/>
      <c r="CF322" s="40"/>
      <c r="CG322" s="40"/>
      <c r="CH322" s="41"/>
      <c r="CI322" s="45"/>
      <c r="CJ322" s="45"/>
      <c r="CK322" s="45"/>
      <c r="CL322" s="45"/>
    </row>
    <row r="323" ht="15.75" customHeight="1">
      <c r="K323" s="38"/>
      <c r="R323" s="39"/>
      <c r="Y323" s="39"/>
      <c r="AF323" s="39"/>
      <c r="AM323" s="40"/>
      <c r="AT323" s="40"/>
      <c r="BA323" s="41"/>
      <c r="BH323" s="42"/>
      <c r="BO323" s="42"/>
      <c r="BP323" s="43"/>
      <c r="CB323" s="44"/>
      <c r="CC323" s="39"/>
      <c r="CD323" s="39"/>
      <c r="CE323" s="39"/>
      <c r="CF323" s="40"/>
      <c r="CG323" s="40"/>
      <c r="CH323" s="41"/>
      <c r="CI323" s="45"/>
      <c r="CJ323" s="45"/>
      <c r="CK323" s="45"/>
      <c r="CL323" s="45"/>
    </row>
    <row r="324" ht="15.75" customHeight="1">
      <c r="K324" s="38"/>
      <c r="R324" s="39"/>
      <c r="Y324" s="39"/>
      <c r="AF324" s="39"/>
      <c r="AM324" s="40"/>
      <c r="AT324" s="40"/>
      <c r="BA324" s="41"/>
      <c r="BH324" s="42"/>
      <c r="BO324" s="42"/>
      <c r="BP324" s="43"/>
      <c r="CB324" s="44"/>
      <c r="CC324" s="39"/>
      <c r="CD324" s="39"/>
      <c r="CE324" s="39"/>
      <c r="CF324" s="40"/>
      <c r="CG324" s="40"/>
      <c r="CH324" s="41"/>
      <c r="CI324" s="45"/>
      <c r="CJ324" s="45"/>
      <c r="CK324" s="45"/>
      <c r="CL324" s="45"/>
    </row>
    <row r="325" ht="15.75" customHeight="1">
      <c r="K325" s="38"/>
      <c r="R325" s="39"/>
      <c r="Y325" s="39"/>
      <c r="AF325" s="39"/>
      <c r="AM325" s="40"/>
      <c r="AT325" s="40"/>
      <c r="BA325" s="41"/>
      <c r="BH325" s="42"/>
      <c r="BO325" s="42"/>
      <c r="BP325" s="43"/>
      <c r="CB325" s="44"/>
      <c r="CC325" s="39"/>
      <c r="CD325" s="39"/>
      <c r="CE325" s="39"/>
      <c r="CF325" s="40"/>
      <c r="CG325" s="40"/>
      <c r="CH325" s="41"/>
      <c r="CI325" s="45"/>
      <c r="CJ325" s="45"/>
      <c r="CK325" s="45"/>
      <c r="CL325" s="45"/>
    </row>
    <row r="326" ht="15.75" customHeight="1">
      <c r="K326" s="38"/>
      <c r="R326" s="39"/>
      <c r="Y326" s="39"/>
      <c r="AF326" s="39"/>
      <c r="AM326" s="40"/>
      <c r="AT326" s="40"/>
      <c r="BA326" s="41"/>
      <c r="BH326" s="42"/>
      <c r="BO326" s="42"/>
      <c r="BP326" s="43"/>
      <c r="CB326" s="44"/>
      <c r="CC326" s="39"/>
      <c r="CD326" s="39"/>
      <c r="CE326" s="39"/>
      <c r="CF326" s="40"/>
      <c r="CG326" s="40"/>
      <c r="CH326" s="41"/>
      <c r="CI326" s="45"/>
      <c r="CJ326" s="45"/>
      <c r="CK326" s="45"/>
      <c r="CL326" s="45"/>
    </row>
    <row r="327" ht="15.75" customHeight="1">
      <c r="K327" s="38"/>
      <c r="R327" s="39"/>
      <c r="Y327" s="39"/>
      <c r="AF327" s="39"/>
      <c r="AM327" s="40"/>
      <c r="AT327" s="40"/>
      <c r="BA327" s="41"/>
      <c r="BH327" s="42"/>
      <c r="BO327" s="42"/>
      <c r="BP327" s="43"/>
      <c r="CB327" s="44"/>
      <c r="CC327" s="39"/>
      <c r="CD327" s="39"/>
      <c r="CE327" s="39"/>
      <c r="CF327" s="40"/>
      <c r="CG327" s="40"/>
      <c r="CH327" s="41"/>
      <c r="CI327" s="45"/>
      <c r="CJ327" s="45"/>
      <c r="CK327" s="45"/>
      <c r="CL327" s="45"/>
    </row>
    <row r="328" ht="15.75" customHeight="1">
      <c r="K328" s="38"/>
      <c r="R328" s="39"/>
      <c r="Y328" s="39"/>
      <c r="AF328" s="39"/>
      <c r="AM328" s="40"/>
      <c r="AT328" s="40"/>
      <c r="BA328" s="41"/>
      <c r="BH328" s="42"/>
      <c r="BO328" s="42"/>
      <c r="BP328" s="43"/>
      <c r="CB328" s="44"/>
      <c r="CC328" s="39"/>
      <c r="CD328" s="39"/>
      <c r="CE328" s="39"/>
      <c r="CF328" s="40"/>
      <c r="CG328" s="40"/>
      <c r="CH328" s="41"/>
      <c r="CI328" s="45"/>
      <c r="CJ328" s="45"/>
      <c r="CK328" s="45"/>
      <c r="CL328" s="45"/>
    </row>
    <row r="329" ht="15.75" customHeight="1">
      <c r="K329" s="38"/>
      <c r="R329" s="39"/>
      <c r="Y329" s="39"/>
      <c r="AF329" s="39"/>
      <c r="AM329" s="40"/>
      <c r="AT329" s="40"/>
      <c r="BA329" s="41"/>
      <c r="BH329" s="42"/>
      <c r="BO329" s="42"/>
      <c r="BP329" s="43"/>
      <c r="CB329" s="44"/>
      <c r="CC329" s="39"/>
      <c r="CD329" s="39"/>
      <c r="CE329" s="39"/>
      <c r="CF329" s="40"/>
      <c r="CG329" s="40"/>
      <c r="CH329" s="41"/>
      <c r="CI329" s="45"/>
      <c r="CJ329" s="45"/>
      <c r="CK329" s="45"/>
      <c r="CL329" s="45"/>
    </row>
    <row r="330" ht="15.75" customHeight="1">
      <c r="K330" s="38"/>
      <c r="R330" s="39"/>
      <c r="Y330" s="39"/>
      <c r="AF330" s="39"/>
      <c r="AM330" s="40"/>
      <c r="AT330" s="40"/>
      <c r="BA330" s="41"/>
      <c r="BH330" s="42"/>
      <c r="BO330" s="42"/>
      <c r="BP330" s="43"/>
      <c r="CB330" s="44"/>
      <c r="CC330" s="39"/>
      <c r="CD330" s="39"/>
      <c r="CE330" s="39"/>
      <c r="CF330" s="40"/>
      <c r="CG330" s="40"/>
      <c r="CH330" s="41"/>
      <c r="CI330" s="45"/>
      <c r="CJ330" s="45"/>
      <c r="CK330" s="45"/>
      <c r="CL330" s="45"/>
    </row>
    <row r="331" ht="15.75" customHeight="1">
      <c r="K331" s="38"/>
      <c r="R331" s="39"/>
      <c r="Y331" s="39"/>
      <c r="AF331" s="39"/>
      <c r="AM331" s="40"/>
      <c r="AT331" s="40"/>
      <c r="BA331" s="41"/>
      <c r="BH331" s="42"/>
      <c r="BO331" s="42"/>
      <c r="BP331" s="43"/>
      <c r="CB331" s="44"/>
      <c r="CC331" s="39"/>
      <c r="CD331" s="39"/>
      <c r="CE331" s="39"/>
      <c r="CF331" s="40"/>
      <c r="CG331" s="40"/>
      <c r="CH331" s="41"/>
      <c r="CI331" s="45"/>
      <c r="CJ331" s="45"/>
      <c r="CK331" s="45"/>
      <c r="CL331" s="45"/>
    </row>
    <row r="332" ht="15.75" customHeight="1">
      <c r="K332" s="38"/>
      <c r="R332" s="39"/>
      <c r="Y332" s="39"/>
      <c r="AF332" s="39"/>
      <c r="AM332" s="40"/>
      <c r="AT332" s="40"/>
      <c r="BA332" s="41"/>
      <c r="BH332" s="42"/>
      <c r="BO332" s="42"/>
      <c r="BP332" s="43"/>
      <c r="CB332" s="44"/>
      <c r="CC332" s="39"/>
      <c r="CD332" s="39"/>
      <c r="CE332" s="39"/>
      <c r="CF332" s="40"/>
      <c r="CG332" s="40"/>
      <c r="CH332" s="41"/>
      <c r="CI332" s="45"/>
      <c r="CJ332" s="45"/>
      <c r="CK332" s="45"/>
      <c r="CL332" s="45"/>
    </row>
    <row r="333" ht="15.75" customHeight="1">
      <c r="K333" s="38"/>
      <c r="R333" s="39"/>
      <c r="Y333" s="39"/>
      <c r="AF333" s="39"/>
      <c r="AM333" s="40"/>
      <c r="AT333" s="40"/>
      <c r="BA333" s="41"/>
      <c r="BH333" s="42"/>
      <c r="BO333" s="42"/>
      <c r="BP333" s="43"/>
      <c r="CB333" s="44"/>
      <c r="CC333" s="39"/>
      <c r="CD333" s="39"/>
      <c r="CE333" s="39"/>
      <c r="CF333" s="40"/>
      <c r="CG333" s="40"/>
      <c r="CH333" s="41"/>
      <c r="CI333" s="45"/>
      <c r="CJ333" s="45"/>
      <c r="CK333" s="45"/>
      <c r="CL333" s="45"/>
    </row>
    <row r="334" ht="15.75" customHeight="1">
      <c r="K334" s="38"/>
      <c r="R334" s="39"/>
      <c r="Y334" s="39"/>
      <c r="AF334" s="39"/>
      <c r="AM334" s="40"/>
      <c r="AT334" s="40"/>
      <c r="BA334" s="41"/>
      <c r="BH334" s="42"/>
      <c r="BO334" s="42"/>
      <c r="BP334" s="43"/>
      <c r="CB334" s="44"/>
      <c r="CC334" s="39"/>
      <c r="CD334" s="39"/>
      <c r="CE334" s="39"/>
      <c r="CF334" s="40"/>
      <c r="CG334" s="40"/>
      <c r="CH334" s="41"/>
      <c r="CI334" s="45"/>
      <c r="CJ334" s="45"/>
      <c r="CK334" s="45"/>
      <c r="CL334" s="45"/>
    </row>
    <row r="335" ht="15.75" customHeight="1">
      <c r="K335" s="38"/>
      <c r="R335" s="39"/>
      <c r="Y335" s="39"/>
      <c r="AF335" s="39"/>
      <c r="AM335" s="40"/>
      <c r="AT335" s="40"/>
      <c r="BA335" s="41"/>
      <c r="BH335" s="42"/>
      <c r="BO335" s="42"/>
      <c r="BP335" s="43"/>
      <c r="CB335" s="44"/>
      <c r="CC335" s="39"/>
      <c r="CD335" s="39"/>
      <c r="CE335" s="39"/>
      <c r="CF335" s="40"/>
      <c r="CG335" s="40"/>
      <c r="CH335" s="41"/>
      <c r="CI335" s="45"/>
      <c r="CJ335" s="45"/>
      <c r="CK335" s="45"/>
      <c r="CL335" s="45"/>
    </row>
    <row r="336" ht="15.75" customHeight="1">
      <c r="K336" s="38"/>
      <c r="R336" s="39"/>
      <c r="Y336" s="39"/>
      <c r="AF336" s="39"/>
      <c r="AM336" s="40"/>
      <c r="AT336" s="40"/>
      <c r="BA336" s="41"/>
      <c r="BH336" s="42"/>
      <c r="BO336" s="42"/>
      <c r="BP336" s="43"/>
      <c r="CB336" s="44"/>
      <c r="CC336" s="39"/>
      <c r="CD336" s="39"/>
      <c r="CE336" s="39"/>
      <c r="CF336" s="40"/>
      <c r="CG336" s="40"/>
      <c r="CH336" s="41"/>
      <c r="CI336" s="45"/>
      <c r="CJ336" s="45"/>
      <c r="CK336" s="45"/>
      <c r="CL336" s="45"/>
    </row>
    <row r="337" ht="15.75" customHeight="1">
      <c r="K337" s="38"/>
      <c r="R337" s="39"/>
      <c r="Y337" s="39"/>
      <c r="AF337" s="39"/>
      <c r="AM337" s="40"/>
      <c r="AT337" s="40"/>
      <c r="BA337" s="41"/>
      <c r="BH337" s="42"/>
      <c r="BO337" s="42"/>
      <c r="BP337" s="43"/>
      <c r="CB337" s="44"/>
      <c r="CC337" s="39"/>
      <c r="CD337" s="39"/>
      <c r="CE337" s="39"/>
      <c r="CF337" s="40"/>
      <c r="CG337" s="40"/>
      <c r="CH337" s="41"/>
      <c r="CI337" s="45"/>
      <c r="CJ337" s="45"/>
      <c r="CK337" s="45"/>
      <c r="CL337" s="45"/>
    </row>
    <row r="338" ht="15.75" customHeight="1">
      <c r="K338" s="38"/>
      <c r="R338" s="39"/>
      <c r="Y338" s="39"/>
      <c r="AF338" s="39"/>
      <c r="AM338" s="40"/>
      <c r="AT338" s="40"/>
      <c r="BA338" s="41"/>
      <c r="BH338" s="42"/>
      <c r="BO338" s="42"/>
      <c r="BP338" s="43"/>
      <c r="CB338" s="44"/>
      <c r="CC338" s="39"/>
      <c r="CD338" s="39"/>
      <c r="CE338" s="39"/>
      <c r="CF338" s="40"/>
      <c r="CG338" s="40"/>
      <c r="CH338" s="41"/>
      <c r="CI338" s="45"/>
      <c r="CJ338" s="45"/>
      <c r="CK338" s="45"/>
      <c r="CL338" s="45"/>
    </row>
    <row r="339" ht="15.75" customHeight="1">
      <c r="K339" s="38"/>
      <c r="R339" s="39"/>
      <c r="Y339" s="39"/>
      <c r="AF339" s="39"/>
      <c r="AM339" s="40"/>
      <c r="AT339" s="40"/>
      <c r="BA339" s="41"/>
      <c r="BH339" s="42"/>
      <c r="BO339" s="42"/>
      <c r="BP339" s="43"/>
      <c r="CB339" s="44"/>
      <c r="CC339" s="39"/>
      <c r="CD339" s="39"/>
      <c r="CE339" s="39"/>
      <c r="CF339" s="40"/>
      <c r="CG339" s="40"/>
      <c r="CH339" s="41"/>
      <c r="CI339" s="45"/>
      <c r="CJ339" s="45"/>
      <c r="CK339" s="45"/>
      <c r="CL339" s="45"/>
    </row>
    <row r="340" ht="15.75" customHeight="1">
      <c r="K340" s="38"/>
      <c r="R340" s="39"/>
      <c r="Y340" s="39"/>
      <c r="AF340" s="39"/>
      <c r="AM340" s="40"/>
      <c r="AT340" s="40"/>
      <c r="BA340" s="41"/>
      <c r="BH340" s="42"/>
      <c r="BO340" s="42"/>
      <c r="BP340" s="43"/>
      <c r="CB340" s="44"/>
      <c r="CC340" s="39"/>
      <c r="CD340" s="39"/>
      <c r="CE340" s="39"/>
      <c r="CF340" s="40"/>
      <c r="CG340" s="40"/>
      <c r="CH340" s="41"/>
      <c r="CI340" s="45"/>
      <c r="CJ340" s="45"/>
      <c r="CK340" s="45"/>
      <c r="CL340" s="45"/>
    </row>
    <row r="341" ht="15.75" customHeight="1">
      <c r="K341" s="38"/>
      <c r="R341" s="39"/>
      <c r="Y341" s="39"/>
      <c r="AF341" s="39"/>
      <c r="AM341" s="40"/>
      <c r="AT341" s="40"/>
      <c r="BA341" s="41"/>
      <c r="BH341" s="42"/>
      <c r="BO341" s="42"/>
      <c r="BP341" s="43"/>
      <c r="CB341" s="44"/>
      <c r="CC341" s="39"/>
      <c r="CD341" s="39"/>
      <c r="CE341" s="39"/>
      <c r="CF341" s="40"/>
      <c r="CG341" s="40"/>
      <c r="CH341" s="41"/>
      <c r="CI341" s="45"/>
      <c r="CJ341" s="45"/>
      <c r="CK341" s="45"/>
      <c r="CL341" s="45"/>
    </row>
    <row r="342" ht="15.75" customHeight="1">
      <c r="K342" s="38"/>
      <c r="R342" s="39"/>
      <c r="Y342" s="39"/>
      <c r="AF342" s="39"/>
      <c r="AM342" s="40"/>
      <c r="AT342" s="40"/>
      <c r="BA342" s="41"/>
      <c r="BH342" s="42"/>
      <c r="BO342" s="42"/>
      <c r="BP342" s="43"/>
      <c r="CB342" s="44"/>
      <c r="CC342" s="39"/>
      <c r="CD342" s="39"/>
      <c r="CE342" s="39"/>
      <c r="CF342" s="40"/>
      <c r="CG342" s="40"/>
      <c r="CH342" s="41"/>
      <c r="CI342" s="45"/>
      <c r="CJ342" s="45"/>
      <c r="CK342" s="45"/>
      <c r="CL342" s="45"/>
    </row>
    <row r="343" ht="15.75" customHeight="1">
      <c r="K343" s="38"/>
      <c r="R343" s="39"/>
      <c r="Y343" s="39"/>
      <c r="AF343" s="39"/>
      <c r="AM343" s="40"/>
      <c r="AT343" s="40"/>
      <c r="BA343" s="41"/>
      <c r="BH343" s="42"/>
      <c r="BO343" s="42"/>
      <c r="BP343" s="43"/>
      <c r="CB343" s="44"/>
      <c r="CC343" s="39"/>
      <c r="CD343" s="39"/>
      <c r="CE343" s="39"/>
      <c r="CF343" s="40"/>
      <c r="CG343" s="40"/>
      <c r="CH343" s="41"/>
      <c r="CI343" s="45"/>
      <c r="CJ343" s="45"/>
      <c r="CK343" s="45"/>
      <c r="CL343" s="45"/>
    </row>
    <row r="344" ht="15.75" customHeight="1">
      <c r="K344" s="38"/>
      <c r="R344" s="39"/>
      <c r="Y344" s="39"/>
      <c r="AF344" s="39"/>
      <c r="AM344" s="40"/>
      <c r="AT344" s="40"/>
      <c r="BA344" s="41"/>
      <c r="BH344" s="42"/>
      <c r="BO344" s="42"/>
      <c r="BP344" s="43"/>
      <c r="CB344" s="44"/>
      <c r="CC344" s="39"/>
      <c r="CD344" s="39"/>
      <c r="CE344" s="39"/>
      <c r="CF344" s="40"/>
      <c r="CG344" s="40"/>
      <c r="CH344" s="41"/>
      <c r="CI344" s="45"/>
      <c r="CJ344" s="45"/>
      <c r="CK344" s="45"/>
      <c r="CL344" s="45"/>
    </row>
    <row r="345" ht="15.75" customHeight="1">
      <c r="K345" s="38"/>
      <c r="R345" s="39"/>
      <c r="Y345" s="39"/>
      <c r="AF345" s="39"/>
      <c r="AM345" s="40"/>
      <c r="AT345" s="40"/>
      <c r="BA345" s="41"/>
      <c r="BH345" s="42"/>
      <c r="BO345" s="42"/>
      <c r="BP345" s="43"/>
      <c r="CB345" s="44"/>
      <c r="CC345" s="39"/>
      <c r="CD345" s="39"/>
      <c r="CE345" s="39"/>
      <c r="CF345" s="40"/>
      <c r="CG345" s="40"/>
      <c r="CH345" s="41"/>
      <c r="CI345" s="45"/>
      <c r="CJ345" s="45"/>
      <c r="CK345" s="45"/>
      <c r="CL345" s="45"/>
    </row>
    <row r="346" ht="15.75" customHeight="1">
      <c r="K346" s="38"/>
      <c r="R346" s="39"/>
      <c r="Y346" s="39"/>
      <c r="AF346" s="39"/>
      <c r="AM346" s="40"/>
      <c r="AT346" s="40"/>
      <c r="BA346" s="41"/>
      <c r="BH346" s="42"/>
      <c r="BO346" s="42"/>
      <c r="BP346" s="43"/>
      <c r="CB346" s="44"/>
      <c r="CC346" s="39"/>
      <c r="CD346" s="39"/>
      <c r="CE346" s="39"/>
      <c r="CF346" s="40"/>
      <c r="CG346" s="40"/>
      <c r="CH346" s="41"/>
      <c r="CI346" s="45"/>
      <c r="CJ346" s="45"/>
      <c r="CK346" s="45"/>
      <c r="CL346" s="45"/>
    </row>
    <row r="347" ht="15.75" customHeight="1">
      <c r="K347" s="38"/>
      <c r="R347" s="39"/>
      <c r="Y347" s="39"/>
      <c r="AF347" s="39"/>
      <c r="AM347" s="40"/>
      <c r="AT347" s="40"/>
      <c r="BA347" s="41"/>
      <c r="BH347" s="42"/>
      <c r="BO347" s="42"/>
      <c r="BP347" s="43"/>
      <c r="CB347" s="44"/>
      <c r="CC347" s="39"/>
      <c r="CD347" s="39"/>
      <c r="CE347" s="39"/>
      <c r="CF347" s="40"/>
      <c r="CG347" s="40"/>
      <c r="CH347" s="41"/>
      <c r="CI347" s="45"/>
      <c r="CJ347" s="45"/>
      <c r="CK347" s="45"/>
      <c r="CL347" s="45"/>
    </row>
    <row r="348" ht="15.75" customHeight="1">
      <c r="K348" s="38"/>
      <c r="R348" s="39"/>
      <c r="Y348" s="39"/>
      <c r="AF348" s="39"/>
      <c r="AM348" s="40"/>
      <c r="AT348" s="40"/>
      <c r="BA348" s="41"/>
      <c r="BH348" s="42"/>
      <c r="BO348" s="42"/>
      <c r="BP348" s="43"/>
      <c r="CB348" s="44"/>
      <c r="CC348" s="39"/>
      <c r="CD348" s="39"/>
      <c r="CE348" s="39"/>
      <c r="CF348" s="40"/>
      <c r="CG348" s="40"/>
      <c r="CH348" s="41"/>
      <c r="CI348" s="45"/>
      <c r="CJ348" s="45"/>
      <c r="CK348" s="45"/>
      <c r="CL348" s="45"/>
    </row>
    <row r="349" ht="15.75" customHeight="1">
      <c r="K349" s="38"/>
      <c r="R349" s="39"/>
      <c r="Y349" s="39"/>
      <c r="AF349" s="39"/>
      <c r="AM349" s="40"/>
      <c r="AT349" s="40"/>
      <c r="BA349" s="41"/>
      <c r="BH349" s="42"/>
      <c r="BO349" s="42"/>
      <c r="BP349" s="43"/>
      <c r="CB349" s="44"/>
      <c r="CC349" s="39"/>
      <c r="CD349" s="39"/>
      <c r="CE349" s="39"/>
      <c r="CF349" s="40"/>
      <c r="CG349" s="40"/>
      <c r="CH349" s="41"/>
      <c r="CI349" s="45"/>
      <c r="CJ349" s="45"/>
      <c r="CK349" s="45"/>
      <c r="CL349" s="45"/>
    </row>
    <row r="350" ht="15.75" customHeight="1">
      <c r="K350" s="38"/>
      <c r="R350" s="39"/>
      <c r="Y350" s="39"/>
      <c r="AF350" s="39"/>
      <c r="AM350" s="40"/>
      <c r="AT350" s="40"/>
      <c r="BA350" s="41"/>
      <c r="BH350" s="42"/>
      <c r="BO350" s="42"/>
      <c r="BP350" s="43"/>
      <c r="CB350" s="44"/>
      <c r="CC350" s="39"/>
      <c r="CD350" s="39"/>
      <c r="CE350" s="39"/>
      <c r="CF350" s="40"/>
      <c r="CG350" s="40"/>
      <c r="CH350" s="41"/>
      <c r="CI350" s="45"/>
      <c r="CJ350" s="45"/>
      <c r="CK350" s="45"/>
      <c r="CL350" s="45"/>
    </row>
    <row r="351" ht="15.75" customHeight="1">
      <c r="K351" s="38"/>
      <c r="R351" s="39"/>
      <c r="Y351" s="39"/>
      <c r="AF351" s="39"/>
      <c r="AM351" s="40"/>
      <c r="AT351" s="40"/>
      <c r="BA351" s="41"/>
      <c r="BH351" s="42"/>
      <c r="BO351" s="42"/>
      <c r="BP351" s="43"/>
      <c r="CB351" s="44"/>
      <c r="CC351" s="39"/>
      <c r="CD351" s="39"/>
      <c r="CE351" s="39"/>
      <c r="CF351" s="40"/>
      <c r="CG351" s="40"/>
      <c r="CH351" s="41"/>
      <c r="CI351" s="45"/>
      <c r="CJ351" s="45"/>
      <c r="CK351" s="45"/>
      <c r="CL351" s="45"/>
    </row>
    <row r="352" ht="15.75" customHeight="1">
      <c r="K352" s="38"/>
      <c r="R352" s="39"/>
      <c r="Y352" s="39"/>
      <c r="AF352" s="39"/>
      <c r="AM352" s="40"/>
      <c r="AT352" s="40"/>
      <c r="BA352" s="41"/>
      <c r="BH352" s="42"/>
      <c r="BO352" s="42"/>
      <c r="BP352" s="43"/>
      <c r="CB352" s="44"/>
      <c r="CC352" s="39"/>
      <c r="CD352" s="39"/>
      <c r="CE352" s="39"/>
      <c r="CF352" s="40"/>
      <c r="CG352" s="40"/>
      <c r="CH352" s="41"/>
      <c r="CI352" s="45"/>
      <c r="CJ352" s="45"/>
      <c r="CK352" s="45"/>
      <c r="CL352" s="45"/>
    </row>
    <row r="353" ht="15.75" customHeight="1">
      <c r="K353" s="38"/>
      <c r="R353" s="39"/>
      <c r="Y353" s="39"/>
      <c r="AF353" s="39"/>
      <c r="AM353" s="40"/>
      <c r="AT353" s="40"/>
      <c r="BA353" s="41"/>
      <c r="BH353" s="42"/>
      <c r="BO353" s="42"/>
      <c r="BP353" s="43"/>
      <c r="CB353" s="44"/>
      <c r="CC353" s="39"/>
      <c r="CD353" s="39"/>
      <c r="CE353" s="39"/>
      <c r="CF353" s="40"/>
      <c r="CG353" s="40"/>
      <c r="CH353" s="41"/>
      <c r="CI353" s="45"/>
      <c r="CJ353" s="45"/>
      <c r="CK353" s="45"/>
      <c r="CL353" s="45"/>
    </row>
    <row r="354" ht="15.75" customHeight="1">
      <c r="K354" s="38"/>
      <c r="R354" s="39"/>
      <c r="Y354" s="39"/>
      <c r="AF354" s="39"/>
      <c r="AM354" s="40"/>
      <c r="AT354" s="40"/>
      <c r="BA354" s="41"/>
      <c r="BH354" s="42"/>
      <c r="BO354" s="42"/>
      <c r="BP354" s="43"/>
      <c r="CB354" s="44"/>
      <c r="CC354" s="39"/>
      <c r="CD354" s="39"/>
      <c r="CE354" s="39"/>
      <c r="CF354" s="40"/>
      <c r="CG354" s="40"/>
      <c r="CH354" s="41"/>
      <c r="CI354" s="45"/>
      <c r="CJ354" s="45"/>
      <c r="CK354" s="45"/>
      <c r="CL354" s="45"/>
    </row>
    <row r="355" ht="15.75" customHeight="1">
      <c r="K355" s="38"/>
      <c r="R355" s="39"/>
      <c r="Y355" s="39"/>
      <c r="AF355" s="39"/>
      <c r="AM355" s="40"/>
      <c r="AT355" s="40"/>
      <c r="BA355" s="41"/>
      <c r="BH355" s="42"/>
      <c r="BO355" s="42"/>
      <c r="BP355" s="43"/>
      <c r="CB355" s="44"/>
      <c r="CC355" s="39"/>
      <c r="CD355" s="39"/>
      <c r="CE355" s="39"/>
      <c r="CF355" s="40"/>
      <c r="CG355" s="40"/>
      <c r="CH355" s="41"/>
      <c r="CI355" s="45"/>
      <c r="CJ355" s="45"/>
      <c r="CK355" s="45"/>
      <c r="CL355" s="45"/>
    </row>
    <row r="356" ht="15.75" customHeight="1">
      <c r="K356" s="38"/>
      <c r="R356" s="39"/>
      <c r="Y356" s="39"/>
      <c r="AF356" s="39"/>
      <c r="AM356" s="40"/>
      <c r="AT356" s="40"/>
      <c r="BA356" s="41"/>
      <c r="BH356" s="42"/>
      <c r="BO356" s="42"/>
      <c r="BP356" s="43"/>
      <c r="CB356" s="44"/>
      <c r="CC356" s="39"/>
      <c r="CD356" s="39"/>
      <c r="CE356" s="39"/>
      <c r="CF356" s="40"/>
      <c r="CG356" s="40"/>
      <c r="CH356" s="41"/>
      <c r="CI356" s="45"/>
      <c r="CJ356" s="45"/>
      <c r="CK356" s="45"/>
      <c r="CL356" s="45"/>
    </row>
    <row r="357" ht="15.75" customHeight="1">
      <c r="K357" s="38"/>
      <c r="R357" s="39"/>
      <c r="Y357" s="39"/>
      <c r="AF357" s="39"/>
      <c r="AM357" s="40"/>
      <c r="AT357" s="40"/>
      <c r="BA357" s="41"/>
      <c r="BH357" s="42"/>
      <c r="BO357" s="42"/>
      <c r="BP357" s="43"/>
      <c r="CB357" s="44"/>
      <c r="CC357" s="39"/>
      <c r="CD357" s="39"/>
      <c r="CE357" s="39"/>
      <c r="CF357" s="40"/>
      <c r="CG357" s="40"/>
      <c r="CH357" s="41"/>
      <c r="CI357" s="45"/>
      <c r="CJ357" s="45"/>
      <c r="CK357" s="45"/>
      <c r="CL357" s="45"/>
    </row>
    <row r="358" ht="15.75" customHeight="1">
      <c r="K358" s="38"/>
      <c r="R358" s="39"/>
      <c r="Y358" s="39"/>
      <c r="AF358" s="39"/>
      <c r="AM358" s="40"/>
      <c r="AT358" s="40"/>
      <c r="BA358" s="41"/>
      <c r="BH358" s="42"/>
      <c r="BO358" s="42"/>
      <c r="BP358" s="43"/>
      <c r="CB358" s="44"/>
      <c r="CC358" s="39"/>
      <c r="CD358" s="39"/>
      <c r="CE358" s="39"/>
      <c r="CF358" s="40"/>
      <c r="CG358" s="40"/>
      <c r="CH358" s="41"/>
      <c r="CI358" s="45"/>
      <c r="CJ358" s="45"/>
      <c r="CK358" s="45"/>
      <c r="CL358" s="45"/>
    </row>
    <row r="359" ht="15.75" customHeight="1">
      <c r="K359" s="38"/>
      <c r="R359" s="39"/>
      <c r="Y359" s="39"/>
      <c r="AF359" s="39"/>
      <c r="AM359" s="40"/>
      <c r="AT359" s="40"/>
      <c r="BA359" s="41"/>
      <c r="BH359" s="42"/>
      <c r="BO359" s="42"/>
      <c r="BP359" s="43"/>
      <c r="CB359" s="44"/>
      <c r="CC359" s="39"/>
      <c r="CD359" s="39"/>
      <c r="CE359" s="39"/>
      <c r="CF359" s="40"/>
      <c r="CG359" s="40"/>
      <c r="CH359" s="41"/>
      <c r="CI359" s="45"/>
      <c r="CJ359" s="45"/>
      <c r="CK359" s="45"/>
      <c r="CL359" s="45"/>
    </row>
    <row r="360" ht="15.75" customHeight="1">
      <c r="K360" s="38"/>
      <c r="R360" s="39"/>
      <c r="Y360" s="39"/>
      <c r="AF360" s="39"/>
      <c r="AM360" s="40"/>
      <c r="AT360" s="40"/>
      <c r="BA360" s="41"/>
      <c r="BH360" s="42"/>
      <c r="BO360" s="42"/>
      <c r="BP360" s="43"/>
      <c r="CB360" s="44"/>
      <c r="CC360" s="39"/>
      <c r="CD360" s="39"/>
      <c r="CE360" s="39"/>
      <c r="CF360" s="40"/>
      <c r="CG360" s="40"/>
      <c r="CH360" s="41"/>
      <c r="CI360" s="45"/>
      <c r="CJ360" s="45"/>
      <c r="CK360" s="45"/>
      <c r="CL360" s="45"/>
    </row>
    <row r="361" ht="15.75" customHeight="1">
      <c r="K361" s="38"/>
      <c r="R361" s="39"/>
      <c r="Y361" s="39"/>
      <c r="AF361" s="39"/>
      <c r="AM361" s="40"/>
      <c r="AT361" s="40"/>
      <c r="BA361" s="41"/>
      <c r="BH361" s="42"/>
      <c r="BO361" s="42"/>
      <c r="BP361" s="43"/>
      <c r="CB361" s="44"/>
      <c r="CC361" s="39"/>
      <c r="CD361" s="39"/>
      <c r="CE361" s="39"/>
      <c r="CF361" s="40"/>
      <c r="CG361" s="40"/>
      <c r="CH361" s="41"/>
      <c r="CI361" s="45"/>
      <c r="CJ361" s="45"/>
      <c r="CK361" s="45"/>
      <c r="CL361" s="45"/>
    </row>
    <row r="362" ht="15.75" customHeight="1">
      <c r="K362" s="38"/>
      <c r="R362" s="39"/>
      <c r="Y362" s="39"/>
      <c r="AF362" s="39"/>
      <c r="AM362" s="40"/>
      <c r="AT362" s="40"/>
      <c r="BA362" s="41"/>
      <c r="BH362" s="42"/>
      <c r="BO362" s="42"/>
      <c r="BP362" s="43"/>
      <c r="CB362" s="44"/>
      <c r="CC362" s="39"/>
      <c r="CD362" s="39"/>
      <c r="CE362" s="39"/>
      <c r="CF362" s="40"/>
      <c r="CG362" s="40"/>
      <c r="CH362" s="41"/>
      <c r="CI362" s="45"/>
      <c r="CJ362" s="45"/>
      <c r="CK362" s="45"/>
      <c r="CL362" s="45"/>
    </row>
    <row r="363" ht="15.75" customHeight="1">
      <c r="K363" s="38"/>
      <c r="R363" s="39"/>
      <c r="Y363" s="39"/>
      <c r="AF363" s="39"/>
      <c r="AM363" s="40"/>
      <c r="AT363" s="40"/>
      <c r="BA363" s="41"/>
      <c r="BH363" s="42"/>
      <c r="BO363" s="42"/>
      <c r="BP363" s="43"/>
      <c r="CB363" s="44"/>
      <c r="CC363" s="39"/>
      <c r="CD363" s="39"/>
      <c r="CE363" s="39"/>
      <c r="CF363" s="40"/>
      <c r="CG363" s="40"/>
      <c r="CH363" s="41"/>
      <c r="CI363" s="45"/>
      <c r="CJ363" s="45"/>
      <c r="CK363" s="45"/>
      <c r="CL363" s="45"/>
    </row>
    <row r="364" ht="15.75" customHeight="1">
      <c r="K364" s="38"/>
      <c r="R364" s="39"/>
      <c r="Y364" s="39"/>
      <c r="AF364" s="39"/>
      <c r="AM364" s="40"/>
      <c r="AT364" s="40"/>
      <c r="BA364" s="41"/>
      <c r="BH364" s="42"/>
      <c r="BO364" s="42"/>
      <c r="BP364" s="43"/>
      <c r="CB364" s="44"/>
      <c r="CC364" s="39"/>
      <c r="CD364" s="39"/>
      <c r="CE364" s="39"/>
      <c r="CF364" s="40"/>
      <c r="CG364" s="40"/>
      <c r="CH364" s="41"/>
      <c r="CI364" s="45"/>
      <c r="CJ364" s="45"/>
      <c r="CK364" s="45"/>
      <c r="CL364" s="45"/>
    </row>
    <row r="365" ht="15.75" customHeight="1">
      <c r="K365" s="38"/>
      <c r="R365" s="39"/>
      <c r="Y365" s="39"/>
      <c r="AF365" s="39"/>
      <c r="AM365" s="40"/>
      <c r="AT365" s="40"/>
      <c r="BA365" s="41"/>
      <c r="BH365" s="42"/>
      <c r="BO365" s="42"/>
      <c r="BP365" s="43"/>
      <c r="CB365" s="44"/>
      <c r="CC365" s="39"/>
      <c r="CD365" s="39"/>
      <c r="CE365" s="39"/>
      <c r="CF365" s="40"/>
      <c r="CG365" s="40"/>
      <c r="CH365" s="41"/>
      <c r="CI365" s="45"/>
      <c r="CJ365" s="45"/>
      <c r="CK365" s="45"/>
      <c r="CL365" s="45"/>
    </row>
    <row r="366" ht="15.75" customHeight="1">
      <c r="K366" s="38"/>
      <c r="R366" s="39"/>
      <c r="Y366" s="39"/>
      <c r="AF366" s="39"/>
      <c r="AM366" s="40"/>
      <c r="AT366" s="40"/>
      <c r="BA366" s="41"/>
      <c r="BH366" s="42"/>
      <c r="BO366" s="42"/>
      <c r="BP366" s="43"/>
      <c r="CB366" s="44"/>
      <c r="CC366" s="39"/>
      <c r="CD366" s="39"/>
      <c r="CE366" s="39"/>
      <c r="CF366" s="40"/>
      <c r="CG366" s="40"/>
      <c r="CH366" s="41"/>
      <c r="CI366" s="45"/>
      <c r="CJ366" s="45"/>
      <c r="CK366" s="45"/>
      <c r="CL366" s="45"/>
    </row>
    <row r="367" ht="15.75" customHeight="1">
      <c r="K367" s="38"/>
      <c r="R367" s="39"/>
      <c r="Y367" s="39"/>
      <c r="AF367" s="39"/>
      <c r="AM367" s="40"/>
      <c r="AT367" s="40"/>
      <c r="BA367" s="41"/>
      <c r="BH367" s="42"/>
      <c r="BO367" s="42"/>
      <c r="BP367" s="43"/>
      <c r="CB367" s="44"/>
      <c r="CC367" s="39"/>
      <c r="CD367" s="39"/>
      <c r="CE367" s="39"/>
      <c r="CF367" s="40"/>
      <c r="CG367" s="40"/>
      <c r="CH367" s="41"/>
      <c r="CI367" s="45"/>
      <c r="CJ367" s="45"/>
      <c r="CK367" s="45"/>
      <c r="CL367" s="45"/>
    </row>
    <row r="368" ht="15.75" customHeight="1">
      <c r="K368" s="38"/>
      <c r="R368" s="39"/>
      <c r="Y368" s="39"/>
      <c r="AF368" s="39"/>
      <c r="AM368" s="40"/>
      <c r="AT368" s="40"/>
      <c r="BA368" s="41"/>
      <c r="BH368" s="42"/>
      <c r="BO368" s="42"/>
      <c r="BP368" s="43"/>
      <c r="CB368" s="44"/>
      <c r="CC368" s="39"/>
      <c r="CD368" s="39"/>
      <c r="CE368" s="39"/>
      <c r="CF368" s="40"/>
      <c r="CG368" s="40"/>
      <c r="CH368" s="41"/>
      <c r="CI368" s="45"/>
      <c r="CJ368" s="45"/>
      <c r="CK368" s="45"/>
      <c r="CL368" s="45"/>
    </row>
    <row r="369" ht="15.75" customHeight="1">
      <c r="K369" s="38"/>
      <c r="R369" s="39"/>
      <c r="Y369" s="39"/>
      <c r="AF369" s="39"/>
      <c r="AM369" s="40"/>
      <c r="AT369" s="40"/>
      <c r="BA369" s="41"/>
      <c r="BH369" s="42"/>
      <c r="BO369" s="42"/>
      <c r="BP369" s="43"/>
      <c r="CB369" s="44"/>
      <c r="CC369" s="39"/>
      <c r="CD369" s="39"/>
      <c r="CE369" s="39"/>
      <c r="CF369" s="40"/>
      <c r="CG369" s="40"/>
      <c r="CH369" s="41"/>
      <c r="CI369" s="45"/>
      <c r="CJ369" s="45"/>
      <c r="CK369" s="45"/>
      <c r="CL369" s="45"/>
    </row>
    <row r="370" ht="15.75" customHeight="1">
      <c r="K370" s="38"/>
      <c r="R370" s="39"/>
      <c r="Y370" s="39"/>
      <c r="AF370" s="39"/>
      <c r="AM370" s="40"/>
      <c r="AT370" s="40"/>
      <c r="BA370" s="41"/>
      <c r="BH370" s="42"/>
      <c r="BO370" s="42"/>
      <c r="BP370" s="43"/>
      <c r="CB370" s="44"/>
      <c r="CC370" s="39"/>
      <c r="CD370" s="39"/>
      <c r="CE370" s="39"/>
      <c r="CF370" s="40"/>
      <c r="CG370" s="40"/>
      <c r="CH370" s="41"/>
      <c r="CI370" s="45"/>
      <c r="CJ370" s="45"/>
      <c r="CK370" s="45"/>
      <c r="CL370" s="45"/>
    </row>
    <row r="371" ht="15.75" customHeight="1">
      <c r="K371" s="38"/>
      <c r="R371" s="39"/>
      <c r="Y371" s="39"/>
      <c r="AF371" s="39"/>
      <c r="AM371" s="40"/>
      <c r="AT371" s="40"/>
      <c r="BA371" s="41"/>
      <c r="BH371" s="42"/>
      <c r="BO371" s="42"/>
      <c r="BP371" s="43"/>
      <c r="CB371" s="44"/>
      <c r="CC371" s="39"/>
      <c r="CD371" s="39"/>
      <c r="CE371" s="39"/>
      <c r="CF371" s="40"/>
      <c r="CG371" s="40"/>
      <c r="CH371" s="41"/>
      <c r="CI371" s="45"/>
      <c r="CJ371" s="45"/>
      <c r="CK371" s="45"/>
      <c r="CL371" s="45"/>
    </row>
    <row r="372" ht="15.75" customHeight="1">
      <c r="K372" s="38"/>
      <c r="R372" s="39"/>
      <c r="Y372" s="39"/>
      <c r="AF372" s="39"/>
      <c r="AM372" s="40"/>
      <c r="AT372" s="40"/>
      <c r="BA372" s="41"/>
      <c r="BH372" s="42"/>
      <c r="BO372" s="42"/>
      <c r="BP372" s="43"/>
      <c r="CB372" s="44"/>
      <c r="CC372" s="39"/>
      <c r="CD372" s="39"/>
      <c r="CE372" s="39"/>
      <c r="CF372" s="40"/>
      <c r="CG372" s="40"/>
      <c r="CH372" s="41"/>
      <c r="CI372" s="45"/>
      <c r="CJ372" s="45"/>
      <c r="CK372" s="45"/>
      <c r="CL372" s="45"/>
    </row>
    <row r="373" ht="15.75" customHeight="1">
      <c r="K373" s="38"/>
      <c r="R373" s="39"/>
      <c r="Y373" s="39"/>
      <c r="AF373" s="39"/>
      <c r="AM373" s="40"/>
      <c r="AT373" s="40"/>
      <c r="BA373" s="41"/>
      <c r="BH373" s="42"/>
      <c r="BO373" s="42"/>
      <c r="BP373" s="43"/>
      <c r="CB373" s="44"/>
      <c r="CC373" s="39"/>
      <c r="CD373" s="39"/>
      <c r="CE373" s="39"/>
      <c r="CF373" s="40"/>
      <c r="CG373" s="40"/>
      <c r="CH373" s="41"/>
      <c r="CI373" s="45"/>
      <c r="CJ373" s="45"/>
      <c r="CK373" s="45"/>
      <c r="CL373" s="45"/>
    </row>
    <row r="374" ht="15.75" customHeight="1">
      <c r="K374" s="38"/>
      <c r="R374" s="39"/>
      <c r="Y374" s="39"/>
      <c r="AF374" s="39"/>
      <c r="AM374" s="40"/>
      <c r="AT374" s="40"/>
      <c r="BA374" s="41"/>
      <c r="BH374" s="42"/>
      <c r="BO374" s="42"/>
      <c r="BP374" s="43"/>
      <c r="CB374" s="44"/>
      <c r="CC374" s="39"/>
      <c r="CD374" s="39"/>
      <c r="CE374" s="39"/>
      <c r="CF374" s="40"/>
      <c r="CG374" s="40"/>
      <c r="CH374" s="41"/>
      <c r="CI374" s="45"/>
      <c r="CJ374" s="45"/>
      <c r="CK374" s="45"/>
      <c r="CL374" s="45"/>
    </row>
    <row r="375" ht="15.75" customHeight="1">
      <c r="K375" s="38"/>
      <c r="R375" s="39"/>
      <c r="Y375" s="39"/>
      <c r="AF375" s="39"/>
      <c r="AM375" s="40"/>
      <c r="AT375" s="40"/>
      <c r="BA375" s="41"/>
      <c r="BH375" s="42"/>
      <c r="BO375" s="42"/>
      <c r="BP375" s="43"/>
      <c r="CB375" s="44"/>
      <c r="CC375" s="39"/>
      <c r="CD375" s="39"/>
      <c r="CE375" s="39"/>
      <c r="CF375" s="40"/>
      <c r="CG375" s="40"/>
      <c r="CH375" s="41"/>
      <c r="CI375" s="45"/>
      <c r="CJ375" s="45"/>
      <c r="CK375" s="45"/>
      <c r="CL375" s="45"/>
    </row>
    <row r="376" ht="15.75" customHeight="1">
      <c r="K376" s="38"/>
      <c r="R376" s="39"/>
      <c r="Y376" s="39"/>
      <c r="AF376" s="39"/>
      <c r="AM376" s="40"/>
      <c r="AT376" s="40"/>
      <c r="BA376" s="41"/>
      <c r="BH376" s="42"/>
      <c r="BO376" s="42"/>
      <c r="BP376" s="43"/>
      <c r="CB376" s="44"/>
      <c r="CC376" s="39"/>
      <c r="CD376" s="39"/>
      <c r="CE376" s="39"/>
      <c r="CF376" s="40"/>
      <c r="CG376" s="40"/>
      <c r="CH376" s="41"/>
      <c r="CI376" s="45"/>
      <c r="CJ376" s="45"/>
      <c r="CK376" s="45"/>
      <c r="CL376" s="45"/>
    </row>
    <row r="377" ht="15.75" customHeight="1">
      <c r="K377" s="38"/>
      <c r="R377" s="39"/>
      <c r="Y377" s="39"/>
      <c r="AF377" s="39"/>
      <c r="AM377" s="40"/>
      <c r="AT377" s="40"/>
      <c r="BA377" s="41"/>
      <c r="BH377" s="42"/>
      <c r="BO377" s="42"/>
      <c r="BP377" s="43"/>
      <c r="CB377" s="44"/>
      <c r="CC377" s="39"/>
      <c r="CD377" s="39"/>
      <c r="CE377" s="39"/>
      <c r="CF377" s="40"/>
      <c r="CG377" s="40"/>
      <c r="CH377" s="41"/>
      <c r="CI377" s="45"/>
      <c r="CJ377" s="45"/>
      <c r="CK377" s="45"/>
      <c r="CL377" s="45"/>
    </row>
    <row r="378" ht="15.75" customHeight="1">
      <c r="K378" s="38"/>
      <c r="R378" s="39"/>
      <c r="Y378" s="39"/>
      <c r="AF378" s="39"/>
      <c r="AM378" s="40"/>
      <c r="AT378" s="40"/>
      <c r="BA378" s="41"/>
      <c r="BH378" s="42"/>
      <c r="BO378" s="42"/>
      <c r="BP378" s="43"/>
      <c r="CB378" s="44"/>
      <c r="CC378" s="39"/>
      <c r="CD378" s="39"/>
      <c r="CE378" s="39"/>
      <c r="CF378" s="40"/>
      <c r="CG378" s="40"/>
      <c r="CH378" s="41"/>
      <c r="CI378" s="45"/>
      <c r="CJ378" s="45"/>
      <c r="CK378" s="45"/>
      <c r="CL378" s="45"/>
    </row>
    <row r="379" ht="15.75" customHeight="1">
      <c r="K379" s="38"/>
      <c r="R379" s="39"/>
      <c r="Y379" s="39"/>
      <c r="AF379" s="39"/>
      <c r="AM379" s="40"/>
      <c r="AT379" s="40"/>
      <c r="BA379" s="41"/>
      <c r="BH379" s="42"/>
      <c r="BO379" s="42"/>
      <c r="BP379" s="43"/>
      <c r="CB379" s="44"/>
      <c r="CC379" s="39"/>
      <c r="CD379" s="39"/>
      <c r="CE379" s="39"/>
      <c r="CF379" s="40"/>
      <c r="CG379" s="40"/>
      <c r="CH379" s="41"/>
      <c r="CI379" s="45"/>
      <c r="CJ379" s="45"/>
      <c r="CK379" s="45"/>
      <c r="CL379" s="45"/>
    </row>
    <row r="380" ht="15.75" customHeight="1">
      <c r="K380" s="38"/>
      <c r="R380" s="39"/>
      <c r="Y380" s="39"/>
      <c r="AF380" s="39"/>
      <c r="AM380" s="40"/>
      <c r="AT380" s="40"/>
      <c r="BA380" s="41"/>
      <c r="BH380" s="42"/>
      <c r="BO380" s="42"/>
      <c r="BP380" s="43"/>
      <c r="CB380" s="44"/>
      <c r="CC380" s="39"/>
      <c r="CD380" s="39"/>
      <c r="CE380" s="39"/>
      <c r="CF380" s="40"/>
      <c r="CG380" s="40"/>
      <c r="CH380" s="41"/>
      <c r="CI380" s="45"/>
      <c r="CJ380" s="45"/>
      <c r="CK380" s="45"/>
      <c r="CL380" s="45"/>
    </row>
    <row r="381" ht="15.75" customHeight="1">
      <c r="K381" s="38"/>
      <c r="R381" s="39"/>
      <c r="Y381" s="39"/>
      <c r="AF381" s="39"/>
      <c r="AM381" s="40"/>
      <c r="AT381" s="40"/>
      <c r="BA381" s="41"/>
      <c r="BH381" s="42"/>
      <c r="BO381" s="42"/>
      <c r="BP381" s="43"/>
      <c r="CB381" s="44"/>
      <c r="CC381" s="39"/>
      <c r="CD381" s="39"/>
      <c r="CE381" s="39"/>
      <c r="CF381" s="40"/>
      <c r="CG381" s="40"/>
      <c r="CH381" s="41"/>
      <c r="CI381" s="45"/>
      <c r="CJ381" s="45"/>
      <c r="CK381" s="45"/>
      <c r="CL381" s="45"/>
    </row>
    <row r="382" ht="15.75" customHeight="1">
      <c r="K382" s="38"/>
      <c r="R382" s="39"/>
      <c r="Y382" s="39"/>
      <c r="AF382" s="39"/>
      <c r="AM382" s="40"/>
      <c r="AT382" s="40"/>
      <c r="BA382" s="41"/>
      <c r="BH382" s="42"/>
      <c r="BO382" s="42"/>
      <c r="BP382" s="43"/>
      <c r="CB382" s="44"/>
      <c r="CC382" s="39"/>
      <c r="CD382" s="39"/>
      <c r="CE382" s="39"/>
      <c r="CF382" s="40"/>
      <c r="CG382" s="40"/>
      <c r="CH382" s="41"/>
      <c r="CI382" s="45"/>
      <c r="CJ382" s="45"/>
      <c r="CK382" s="45"/>
      <c r="CL382" s="45"/>
    </row>
    <row r="383" ht="15.75" customHeight="1">
      <c r="K383" s="38"/>
      <c r="R383" s="39"/>
      <c r="Y383" s="39"/>
      <c r="AF383" s="39"/>
      <c r="AM383" s="40"/>
      <c r="AT383" s="40"/>
      <c r="BA383" s="41"/>
      <c r="BH383" s="42"/>
      <c r="BO383" s="42"/>
      <c r="BP383" s="43"/>
      <c r="CB383" s="44"/>
      <c r="CC383" s="39"/>
      <c r="CD383" s="39"/>
      <c r="CE383" s="39"/>
      <c r="CF383" s="40"/>
      <c r="CG383" s="40"/>
      <c r="CH383" s="41"/>
      <c r="CI383" s="45"/>
      <c r="CJ383" s="45"/>
      <c r="CK383" s="45"/>
      <c r="CL383" s="45"/>
    </row>
    <row r="384" ht="15.75" customHeight="1">
      <c r="K384" s="38"/>
      <c r="R384" s="39"/>
      <c r="Y384" s="39"/>
      <c r="AF384" s="39"/>
      <c r="AM384" s="40"/>
      <c r="AT384" s="40"/>
      <c r="BA384" s="41"/>
      <c r="BH384" s="42"/>
      <c r="BO384" s="42"/>
      <c r="BP384" s="43"/>
      <c r="CB384" s="44"/>
      <c r="CC384" s="39"/>
      <c r="CD384" s="39"/>
      <c r="CE384" s="39"/>
      <c r="CF384" s="40"/>
      <c r="CG384" s="40"/>
      <c r="CH384" s="41"/>
      <c r="CI384" s="45"/>
      <c r="CJ384" s="45"/>
      <c r="CK384" s="45"/>
      <c r="CL384" s="45"/>
    </row>
    <row r="385" ht="15.75" customHeight="1">
      <c r="K385" s="38"/>
      <c r="R385" s="39"/>
      <c r="Y385" s="39"/>
      <c r="AF385" s="39"/>
      <c r="AM385" s="40"/>
      <c r="AT385" s="40"/>
      <c r="BA385" s="41"/>
      <c r="BH385" s="42"/>
      <c r="BO385" s="42"/>
      <c r="BP385" s="43"/>
      <c r="CB385" s="44"/>
      <c r="CC385" s="39"/>
      <c r="CD385" s="39"/>
      <c r="CE385" s="39"/>
      <c r="CF385" s="40"/>
      <c r="CG385" s="40"/>
      <c r="CH385" s="41"/>
      <c r="CI385" s="45"/>
      <c r="CJ385" s="45"/>
      <c r="CK385" s="45"/>
      <c r="CL385" s="45"/>
    </row>
    <row r="386" ht="15.75" customHeight="1">
      <c r="K386" s="38"/>
      <c r="R386" s="39"/>
      <c r="Y386" s="39"/>
      <c r="AF386" s="39"/>
      <c r="AM386" s="40"/>
      <c r="AT386" s="40"/>
      <c r="BA386" s="41"/>
      <c r="BH386" s="42"/>
      <c r="BO386" s="42"/>
      <c r="BP386" s="43"/>
      <c r="CB386" s="44"/>
      <c r="CC386" s="39"/>
      <c r="CD386" s="39"/>
      <c r="CE386" s="39"/>
      <c r="CF386" s="40"/>
      <c r="CG386" s="40"/>
      <c r="CH386" s="41"/>
      <c r="CI386" s="45"/>
      <c r="CJ386" s="45"/>
      <c r="CK386" s="45"/>
      <c r="CL386" s="45"/>
    </row>
    <row r="387" ht="15.75" customHeight="1">
      <c r="K387" s="38"/>
      <c r="R387" s="39"/>
      <c r="Y387" s="39"/>
      <c r="AF387" s="39"/>
      <c r="AM387" s="40"/>
      <c r="AT387" s="40"/>
      <c r="BA387" s="41"/>
      <c r="BH387" s="42"/>
      <c r="BO387" s="42"/>
      <c r="BP387" s="43"/>
      <c r="CB387" s="44"/>
      <c r="CC387" s="39"/>
      <c r="CD387" s="39"/>
      <c r="CE387" s="39"/>
      <c r="CF387" s="40"/>
      <c r="CG387" s="40"/>
      <c r="CH387" s="41"/>
      <c r="CI387" s="45"/>
      <c r="CJ387" s="45"/>
      <c r="CK387" s="45"/>
      <c r="CL387" s="45"/>
    </row>
    <row r="388" ht="15.75" customHeight="1">
      <c r="K388" s="38"/>
      <c r="R388" s="39"/>
      <c r="Y388" s="39"/>
      <c r="AF388" s="39"/>
      <c r="AM388" s="40"/>
      <c r="AT388" s="40"/>
      <c r="BA388" s="41"/>
      <c r="BH388" s="42"/>
      <c r="BO388" s="42"/>
      <c r="BP388" s="43"/>
      <c r="CB388" s="44"/>
      <c r="CC388" s="39"/>
      <c r="CD388" s="39"/>
      <c r="CE388" s="39"/>
      <c r="CF388" s="40"/>
      <c r="CG388" s="40"/>
      <c r="CH388" s="41"/>
      <c r="CI388" s="45"/>
      <c r="CJ388" s="45"/>
      <c r="CK388" s="45"/>
      <c r="CL388" s="45"/>
    </row>
    <row r="389" ht="15.75" customHeight="1">
      <c r="K389" s="38"/>
      <c r="R389" s="39"/>
      <c r="Y389" s="39"/>
      <c r="AF389" s="39"/>
      <c r="AM389" s="40"/>
      <c r="AT389" s="40"/>
      <c r="BA389" s="41"/>
      <c r="BH389" s="42"/>
      <c r="BO389" s="42"/>
      <c r="BP389" s="43"/>
      <c r="CB389" s="44"/>
      <c r="CC389" s="39"/>
      <c r="CD389" s="39"/>
      <c r="CE389" s="39"/>
      <c r="CF389" s="40"/>
      <c r="CG389" s="40"/>
      <c r="CH389" s="41"/>
      <c r="CI389" s="45"/>
      <c r="CJ389" s="45"/>
      <c r="CK389" s="45"/>
      <c r="CL389" s="45"/>
    </row>
    <row r="390" ht="15.75" customHeight="1">
      <c r="K390" s="38"/>
      <c r="R390" s="39"/>
      <c r="Y390" s="39"/>
      <c r="AF390" s="39"/>
      <c r="AM390" s="40"/>
      <c r="AT390" s="40"/>
      <c r="BA390" s="41"/>
      <c r="BH390" s="42"/>
      <c r="BO390" s="42"/>
      <c r="BP390" s="43"/>
      <c r="CB390" s="44"/>
      <c r="CC390" s="39"/>
      <c r="CD390" s="39"/>
      <c r="CE390" s="39"/>
      <c r="CF390" s="40"/>
      <c r="CG390" s="40"/>
      <c r="CH390" s="41"/>
      <c r="CI390" s="45"/>
      <c r="CJ390" s="45"/>
      <c r="CK390" s="45"/>
      <c r="CL390" s="45"/>
    </row>
    <row r="391" ht="15.75" customHeight="1">
      <c r="K391" s="38"/>
      <c r="R391" s="39"/>
      <c r="Y391" s="39"/>
      <c r="AF391" s="39"/>
      <c r="AM391" s="40"/>
      <c r="AT391" s="40"/>
      <c r="BA391" s="41"/>
      <c r="BH391" s="42"/>
      <c r="BO391" s="42"/>
      <c r="BP391" s="43"/>
      <c r="CB391" s="44"/>
      <c r="CC391" s="39"/>
      <c r="CD391" s="39"/>
      <c r="CE391" s="39"/>
      <c r="CF391" s="40"/>
      <c r="CG391" s="40"/>
      <c r="CH391" s="41"/>
      <c r="CI391" s="45"/>
      <c r="CJ391" s="45"/>
      <c r="CK391" s="45"/>
      <c r="CL391" s="45"/>
    </row>
    <row r="392" ht="15.75" customHeight="1">
      <c r="K392" s="38"/>
      <c r="R392" s="39"/>
      <c r="Y392" s="39"/>
      <c r="AF392" s="39"/>
      <c r="AM392" s="40"/>
      <c r="AT392" s="40"/>
      <c r="BA392" s="41"/>
      <c r="BH392" s="42"/>
      <c r="BO392" s="42"/>
      <c r="BP392" s="43"/>
      <c r="CB392" s="44"/>
      <c r="CC392" s="39"/>
      <c r="CD392" s="39"/>
      <c r="CE392" s="39"/>
      <c r="CF392" s="40"/>
      <c r="CG392" s="40"/>
      <c r="CH392" s="41"/>
      <c r="CI392" s="45"/>
      <c r="CJ392" s="45"/>
      <c r="CK392" s="45"/>
      <c r="CL392" s="45"/>
    </row>
    <row r="393" ht="15.75" customHeight="1">
      <c r="K393" s="38"/>
      <c r="R393" s="39"/>
      <c r="Y393" s="39"/>
      <c r="AF393" s="39"/>
      <c r="AM393" s="40"/>
      <c r="AT393" s="40"/>
      <c r="BA393" s="41"/>
      <c r="BH393" s="42"/>
      <c r="BO393" s="42"/>
      <c r="BP393" s="43"/>
      <c r="CB393" s="44"/>
      <c r="CC393" s="39"/>
      <c r="CD393" s="39"/>
      <c r="CE393" s="39"/>
      <c r="CF393" s="40"/>
      <c r="CG393" s="40"/>
      <c r="CH393" s="41"/>
      <c r="CI393" s="45"/>
      <c r="CJ393" s="45"/>
      <c r="CK393" s="45"/>
      <c r="CL393" s="45"/>
    </row>
    <row r="394" ht="15.75" customHeight="1">
      <c r="K394" s="38"/>
      <c r="R394" s="39"/>
      <c r="Y394" s="39"/>
      <c r="AF394" s="39"/>
      <c r="AM394" s="40"/>
      <c r="AT394" s="40"/>
      <c r="BA394" s="41"/>
      <c r="BH394" s="42"/>
      <c r="BO394" s="42"/>
      <c r="BP394" s="43"/>
      <c r="CB394" s="44"/>
      <c r="CC394" s="39"/>
      <c r="CD394" s="39"/>
      <c r="CE394" s="39"/>
      <c r="CF394" s="40"/>
      <c r="CG394" s="40"/>
      <c r="CH394" s="41"/>
      <c r="CI394" s="45"/>
      <c r="CJ394" s="45"/>
      <c r="CK394" s="45"/>
      <c r="CL394" s="45"/>
    </row>
    <row r="395" ht="15.75" customHeight="1">
      <c r="K395" s="38"/>
      <c r="R395" s="39"/>
      <c r="Y395" s="39"/>
      <c r="AF395" s="39"/>
      <c r="AM395" s="40"/>
      <c r="AT395" s="40"/>
      <c r="BA395" s="41"/>
      <c r="BH395" s="42"/>
      <c r="BO395" s="42"/>
      <c r="BP395" s="43"/>
      <c r="CB395" s="44"/>
      <c r="CC395" s="39"/>
      <c r="CD395" s="39"/>
      <c r="CE395" s="39"/>
      <c r="CF395" s="40"/>
      <c r="CG395" s="40"/>
      <c r="CH395" s="41"/>
      <c r="CI395" s="45"/>
      <c r="CJ395" s="45"/>
      <c r="CK395" s="45"/>
      <c r="CL395" s="45"/>
    </row>
    <row r="396" ht="15.75" customHeight="1">
      <c r="K396" s="38"/>
      <c r="R396" s="39"/>
      <c r="Y396" s="39"/>
      <c r="AF396" s="39"/>
      <c r="AM396" s="40"/>
      <c r="AT396" s="40"/>
      <c r="BA396" s="41"/>
      <c r="BH396" s="42"/>
      <c r="BO396" s="42"/>
      <c r="BP396" s="43"/>
      <c r="CB396" s="44"/>
      <c r="CC396" s="39"/>
      <c r="CD396" s="39"/>
      <c r="CE396" s="39"/>
      <c r="CF396" s="40"/>
      <c r="CG396" s="40"/>
      <c r="CH396" s="41"/>
      <c r="CI396" s="45"/>
      <c r="CJ396" s="45"/>
      <c r="CK396" s="45"/>
      <c r="CL396" s="45"/>
    </row>
    <row r="397" ht="15.75" customHeight="1">
      <c r="K397" s="38"/>
      <c r="R397" s="39"/>
      <c r="Y397" s="39"/>
      <c r="AF397" s="39"/>
      <c r="AM397" s="40"/>
      <c r="AT397" s="40"/>
      <c r="BA397" s="41"/>
      <c r="BH397" s="42"/>
      <c r="BO397" s="42"/>
      <c r="BP397" s="43"/>
      <c r="CB397" s="44"/>
      <c r="CC397" s="39"/>
      <c r="CD397" s="39"/>
      <c r="CE397" s="39"/>
      <c r="CF397" s="40"/>
      <c r="CG397" s="40"/>
      <c r="CH397" s="41"/>
      <c r="CI397" s="45"/>
      <c r="CJ397" s="45"/>
      <c r="CK397" s="45"/>
      <c r="CL397" s="45"/>
    </row>
    <row r="398" ht="15.75" customHeight="1">
      <c r="K398" s="38"/>
      <c r="R398" s="39"/>
      <c r="Y398" s="39"/>
      <c r="AF398" s="39"/>
      <c r="AM398" s="40"/>
      <c r="AT398" s="40"/>
      <c r="BA398" s="41"/>
      <c r="BH398" s="42"/>
      <c r="BO398" s="42"/>
      <c r="BP398" s="43"/>
      <c r="CB398" s="44"/>
      <c r="CC398" s="39"/>
      <c r="CD398" s="39"/>
      <c r="CE398" s="39"/>
      <c r="CF398" s="40"/>
      <c r="CG398" s="40"/>
      <c r="CH398" s="41"/>
      <c r="CI398" s="45"/>
      <c r="CJ398" s="45"/>
      <c r="CK398" s="45"/>
      <c r="CL398" s="45"/>
    </row>
    <row r="399" ht="15.75" customHeight="1">
      <c r="K399" s="38"/>
      <c r="R399" s="39"/>
      <c r="Y399" s="39"/>
      <c r="AF399" s="39"/>
      <c r="AM399" s="40"/>
      <c r="AT399" s="40"/>
      <c r="BA399" s="41"/>
      <c r="BH399" s="42"/>
      <c r="BO399" s="42"/>
      <c r="BP399" s="43"/>
      <c r="CB399" s="44"/>
      <c r="CC399" s="39"/>
      <c r="CD399" s="39"/>
      <c r="CE399" s="39"/>
      <c r="CF399" s="40"/>
      <c r="CG399" s="40"/>
      <c r="CH399" s="41"/>
      <c r="CI399" s="45"/>
      <c r="CJ399" s="45"/>
      <c r="CK399" s="45"/>
      <c r="CL399" s="45"/>
    </row>
    <row r="400" ht="15.75" customHeight="1">
      <c r="K400" s="38"/>
      <c r="R400" s="39"/>
      <c r="Y400" s="39"/>
      <c r="AF400" s="39"/>
      <c r="AM400" s="40"/>
      <c r="AT400" s="40"/>
      <c r="BA400" s="41"/>
      <c r="BH400" s="42"/>
      <c r="BO400" s="42"/>
      <c r="BP400" s="43"/>
      <c r="CB400" s="44"/>
      <c r="CC400" s="39"/>
      <c r="CD400" s="39"/>
      <c r="CE400" s="39"/>
      <c r="CF400" s="40"/>
      <c r="CG400" s="40"/>
      <c r="CH400" s="41"/>
      <c r="CI400" s="45"/>
      <c r="CJ400" s="45"/>
      <c r="CK400" s="45"/>
      <c r="CL400" s="45"/>
    </row>
    <row r="401" ht="15.75" customHeight="1">
      <c r="K401" s="38"/>
      <c r="R401" s="39"/>
      <c r="Y401" s="39"/>
      <c r="AF401" s="39"/>
      <c r="AM401" s="40"/>
      <c r="AT401" s="40"/>
      <c r="BA401" s="41"/>
      <c r="BH401" s="42"/>
      <c r="BO401" s="42"/>
      <c r="BP401" s="43"/>
      <c r="CB401" s="44"/>
      <c r="CC401" s="39"/>
      <c r="CD401" s="39"/>
      <c r="CE401" s="39"/>
      <c r="CF401" s="40"/>
      <c r="CG401" s="40"/>
      <c r="CH401" s="41"/>
      <c r="CI401" s="45"/>
      <c r="CJ401" s="45"/>
      <c r="CK401" s="45"/>
      <c r="CL401" s="45"/>
    </row>
    <row r="402" ht="15.75" customHeight="1">
      <c r="K402" s="38"/>
      <c r="R402" s="39"/>
      <c r="Y402" s="39"/>
      <c r="AF402" s="39"/>
      <c r="AM402" s="40"/>
      <c r="AT402" s="40"/>
      <c r="BA402" s="41"/>
      <c r="BH402" s="42"/>
      <c r="BO402" s="42"/>
      <c r="BP402" s="43"/>
      <c r="CB402" s="44"/>
      <c r="CC402" s="39"/>
      <c r="CD402" s="39"/>
      <c r="CE402" s="39"/>
      <c r="CF402" s="40"/>
      <c r="CG402" s="40"/>
      <c r="CH402" s="41"/>
      <c r="CI402" s="45"/>
      <c r="CJ402" s="45"/>
      <c r="CK402" s="45"/>
      <c r="CL402" s="45"/>
    </row>
    <row r="403" ht="15.75" customHeight="1">
      <c r="K403" s="38"/>
      <c r="R403" s="39"/>
      <c r="Y403" s="39"/>
      <c r="AF403" s="39"/>
      <c r="AM403" s="40"/>
      <c r="AT403" s="40"/>
      <c r="BA403" s="41"/>
      <c r="BH403" s="42"/>
      <c r="BO403" s="42"/>
      <c r="BP403" s="43"/>
      <c r="CB403" s="44"/>
      <c r="CC403" s="39"/>
      <c r="CD403" s="39"/>
      <c r="CE403" s="39"/>
      <c r="CF403" s="40"/>
      <c r="CG403" s="40"/>
      <c r="CH403" s="41"/>
      <c r="CI403" s="45"/>
      <c r="CJ403" s="45"/>
      <c r="CK403" s="45"/>
      <c r="CL403" s="45"/>
    </row>
    <row r="404" ht="15.75" customHeight="1">
      <c r="K404" s="38"/>
      <c r="R404" s="39"/>
      <c r="Y404" s="39"/>
      <c r="AF404" s="39"/>
      <c r="AM404" s="40"/>
      <c r="AT404" s="40"/>
      <c r="BA404" s="41"/>
      <c r="BH404" s="42"/>
      <c r="BO404" s="42"/>
      <c r="BP404" s="43"/>
      <c r="CB404" s="44"/>
      <c r="CC404" s="39"/>
      <c r="CD404" s="39"/>
      <c r="CE404" s="39"/>
      <c r="CF404" s="40"/>
      <c r="CG404" s="40"/>
      <c r="CH404" s="41"/>
      <c r="CI404" s="45"/>
      <c r="CJ404" s="45"/>
      <c r="CK404" s="45"/>
      <c r="CL404" s="45"/>
    </row>
    <row r="405" ht="15.75" customHeight="1">
      <c r="K405" s="38"/>
      <c r="R405" s="39"/>
      <c r="Y405" s="39"/>
      <c r="AF405" s="39"/>
      <c r="AM405" s="40"/>
      <c r="AT405" s="40"/>
      <c r="BA405" s="41"/>
      <c r="BH405" s="42"/>
      <c r="BO405" s="42"/>
      <c r="BP405" s="43"/>
      <c r="CB405" s="44"/>
      <c r="CC405" s="39"/>
      <c r="CD405" s="39"/>
      <c r="CE405" s="39"/>
      <c r="CF405" s="40"/>
      <c r="CG405" s="40"/>
      <c r="CH405" s="41"/>
      <c r="CI405" s="45"/>
      <c r="CJ405" s="45"/>
      <c r="CK405" s="45"/>
      <c r="CL405" s="45"/>
    </row>
    <row r="406" ht="15.75" customHeight="1">
      <c r="K406" s="38"/>
      <c r="R406" s="39"/>
      <c r="Y406" s="39"/>
      <c r="AF406" s="39"/>
      <c r="AM406" s="40"/>
      <c r="AT406" s="40"/>
      <c r="BA406" s="41"/>
      <c r="BH406" s="42"/>
      <c r="BO406" s="42"/>
      <c r="BP406" s="43"/>
      <c r="CB406" s="44"/>
      <c r="CC406" s="39"/>
      <c r="CD406" s="39"/>
      <c r="CE406" s="39"/>
      <c r="CF406" s="40"/>
      <c r="CG406" s="40"/>
      <c r="CH406" s="41"/>
      <c r="CI406" s="45"/>
      <c r="CJ406" s="45"/>
      <c r="CK406" s="45"/>
      <c r="CL406" s="45"/>
    </row>
    <row r="407" ht="15.75" customHeight="1">
      <c r="K407" s="38"/>
      <c r="R407" s="39"/>
      <c r="Y407" s="39"/>
      <c r="AF407" s="39"/>
      <c r="AM407" s="40"/>
      <c r="AT407" s="40"/>
      <c r="BA407" s="41"/>
      <c r="BH407" s="42"/>
      <c r="BO407" s="42"/>
      <c r="BP407" s="43"/>
      <c r="CB407" s="44"/>
      <c r="CC407" s="39"/>
      <c r="CD407" s="39"/>
      <c r="CE407" s="39"/>
      <c r="CF407" s="40"/>
      <c r="CG407" s="40"/>
      <c r="CH407" s="41"/>
      <c r="CI407" s="45"/>
      <c r="CJ407" s="45"/>
      <c r="CK407" s="45"/>
      <c r="CL407" s="45"/>
    </row>
    <row r="408" ht="15.75" customHeight="1">
      <c r="K408" s="38"/>
      <c r="R408" s="39"/>
      <c r="Y408" s="39"/>
      <c r="AF408" s="39"/>
      <c r="AM408" s="40"/>
      <c r="AT408" s="40"/>
      <c r="BA408" s="41"/>
      <c r="BH408" s="42"/>
      <c r="BO408" s="42"/>
      <c r="BP408" s="43"/>
      <c r="CB408" s="44"/>
      <c r="CC408" s="39"/>
      <c r="CD408" s="39"/>
      <c r="CE408" s="39"/>
      <c r="CF408" s="40"/>
      <c r="CG408" s="40"/>
      <c r="CH408" s="41"/>
      <c r="CI408" s="45"/>
      <c r="CJ408" s="45"/>
      <c r="CK408" s="45"/>
      <c r="CL408" s="45"/>
    </row>
    <row r="409" ht="15.75" customHeight="1">
      <c r="K409" s="38"/>
      <c r="R409" s="39"/>
      <c r="Y409" s="39"/>
      <c r="AF409" s="39"/>
      <c r="AM409" s="40"/>
      <c r="AT409" s="40"/>
      <c r="BA409" s="41"/>
      <c r="BH409" s="42"/>
      <c r="BO409" s="42"/>
      <c r="BP409" s="43"/>
      <c r="CB409" s="44"/>
      <c r="CC409" s="39"/>
      <c r="CD409" s="39"/>
      <c r="CE409" s="39"/>
      <c r="CF409" s="40"/>
      <c r="CG409" s="40"/>
      <c r="CH409" s="41"/>
      <c r="CI409" s="45"/>
      <c r="CJ409" s="45"/>
      <c r="CK409" s="45"/>
      <c r="CL409" s="45"/>
    </row>
    <row r="410" ht="15.75" customHeight="1">
      <c r="K410" s="38"/>
      <c r="R410" s="39"/>
      <c r="Y410" s="39"/>
      <c r="AF410" s="39"/>
      <c r="AM410" s="40"/>
      <c r="AT410" s="40"/>
      <c r="BA410" s="41"/>
      <c r="BH410" s="42"/>
      <c r="BO410" s="42"/>
      <c r="BP410" s="43"/>
      <c r="CB410" s="44"/>
      <c r="CC410" s="39"/>
      <c r="CD410" s="39"/>
      <c r="CE410" s="39"/>
      <c r="CF410" s="40"/>
      <c r="CG410" s="40"/>
      <c r="CH410" s="41"/>
      <c r="CI410" s="45"/>
      <c r="CJ410" s="45"/>
      <c r="CK410" s="45"/>
      <c r="CL410" s="45"/>
    </row>
    <row r="411" ht="15.75" customHeight="1">
      <c r="K411" s="38"/>
      <c r="R411" s="39"/>
      <c r="Y411" s="39"/>
      <c r="AF411" s="39"/>
      <c r="AM411" s="40"/>
      <c r="AT411" s="40"/>
      <c r="BA411" s="41"/>
      <c r="BH411" s="42"/>
      <c r="BO411" s="42"/>
      <c r="BP411" s="43"/>
      <c r="CB411" s="44"/>
      <c r="CC411" s="39"/>
      <c r="CD411" s="39"/>
      <c r="CE411" s="39"/>
      <c r="CF411" s="40"/>
      <c r="CG411" s="40"/>
      <c r="CH411" s="41"/>
      <c r="CI411" s="45"/>
      <c r="CJ411" s="45"/>
      <c r="CK411" s="45"/>
      <c r="CL411" s="45"/>
    </row>
    <row r="412" ht="15.75" customHeight="1">
      <c r="K412" s="38"/>
      <c r="R412" s="39"/>
      <c r="Y412" s="39"/>
      <c r="AF412" s="39"/>
      <c r="AM412" s="40"/>
      <c r="AT412" s="40"/>
      <c r="BA412" s="41"/>
      <c r="BH412" s="42"/>
      <c r="BO412" s="42"/>
      <c r="BP412" s="43"/>
      <c r="CB412" s="44"/>
      <c r="CC412" s="39"/>
      <c r="CD412" s="39"/>
      <c r="CE412" s="39"/>
      <c r="CF412" s="40"/>
      <c r="CG412" s="40"/>
      <c r="CH412" s="41"/>
      <c r="CI412" s="45"/>
      <c r="CJ412" s="45"/>
      <c r="CK412" s="45"/>
      <c r="CL412" s="45"/>
    </row>
    <row r="413" ht="15.75" customHeight="1">
      <c r="K413" s="38"/>
      <c r="R413" s="39"/>
      <c r="Y413" s="39"/>
      <c r="AF413" s="39"/>
      <c r="AM413" s="40"/>
      <c r="AT413" s="40"/>
      <c r="BA413" s="41"/>
      <c r="BH413" s="42"/>
      <c r="BO413" s="42"/>
      <c r="BP413" s="43"/>
      <c r="CB413" s="44"/>
      <c r="CC413" s="39"/>
      <c r="CD413" s="39"/>
      <c r="CE413" s="39"/>
      <c r="CF413" s="40"/>
      <c r="CG413" s="40"/>
      <c r="CH413" s="41"/>
      <c r="CI413" s="45"/>
      <c r="CJ413" s="45"/>
      <c r="CK413" s="45"/>
      <c r="CL413" s="45"/>
    </row>
    <row r="414" ht="15.75" customHeight="1">
      <c r="K414" s="38"/>
      <c r="R414" s="39"/>
      <c r="Y414" s="39"/>
      <c r="AF414" s="39"/>
      <c r="AM414" s="40"/>
      <c r="AT414" s="40"/>
      <c r="BA414" s="41"/>
      <c r="BH414" s="42"/>
      <c r="BO414" s="42"/>
      <c r="BP414" s="43"/>
      <c r="CB414" s="44"/>
      <c r="CC414" s="39"/>
      <c r="CD414" s="39"/>
      <c r="CE414" s="39"/>
      <c r="CF414" s="40"/>
      <c r="CG414" s="40"/>
      <c r="CH414" s="41"/>
      <c r="CI414" s="45"/>
      <c r="CJ414" s="45"/>
      <c r="CK414" s="45"/>
      <c r="CL414" s="45"/>
    </row>
    <row r="415" ht="15.75" customHeight="1">
      <c r="K415" s="38"/>
      <c r="R415" s="39"/>
      <c r="Y415" s="39"/>
      <c r="AF415" s="39"/>
      <c r="AM415" s="40"/>
      <c r="AT415" s="40"/>
      <c r="BA415" s="41"/>
      <c r="BH415" s="42"/>
      <c r="BO415" s="42"/>
      <c r="BP415" s="43"/>
      <c r="CB415" s="44"/>
      <c r="CC415" s="39"/>
      <c r="CD415" s="39"/>
      <c r="CE415" s="39"/>
      <c r="CF415" s="40"/>
      <c r="CG415" s="40"/>
      <c r="CH415" s="41"/>
      <c r="CI415" s="45"/>
      <c r="CJ415" s="45"/>
      <c r="CK415" s="45"/>
      <c r="CL415" s="45"/>
    </row>
    <row r="416" ht="15.75" customHeight="1">
      <c r="K416" s="38"/>
      <c r="R416" s="39"/>
      <c r="Y416" s="39"/>
      <c r="AF416" s="39"/>
      <c r="AM416" s="40"/>
      <c r="AT416" s="40"/>
      <c r="BA416" s="41"/>
      <c r="BH416" s="42"/>
      <c r="BO416" s="42"/>
      <c r="BP416" s="43"/>
      <c r="CB416" s="44"/>
      <c r="CC416" s="39"/>
      <c r="CD416" s="39"/>
      <c r="CE416" s="39"/>
      <c r="CF416" s="40"/>
      <c r="CG416" s="40"/>
      <c r="CH416" s="41"/>
      <c r="CI416" s="45"/>
      <c r="CJ416" s="45"/>
      <c r="CK416" s="45"/>
      <c r="CL416" s="45"/>
    </row>
    <row r="417" ht="15.75" customHeight="1">
      <c r="K417" s="38"/>
      <c r="R417" s="39"/>
      <c r="Y417" s="39"/>
      <c r="AF417" s="39"/>
      <c r="AM417" s="40"/>
      <c r="AT417" s="40"/>
      <c r="BA417" s="41"/>
      <c r="BH417" s="42"/>
      <c r="BO417" s="42"/>
      <c r="BP417" s="43"/>
      <c r="CB417" s="44"/>
      <c r="CC417" s="39"/>
      <c r="CD417" s="39"/>
      <c r="CE417" s="39"/>
      <c r="CF417" s="40"/>
      <c r="CG417" s="40"/>
      <c r="CH417" s="41"/>
      <c r="CI417" s="45"/>
      <c r="CJ417" s="45"/>
      <c r="CK417" s="45"/>
      <c r="CL417" s="45"/>
    </row>
    <row r="418" ht="15.75" customHeight="1">
      <c r="K418" s="38"/>
      <c r="R418" s="39"/>
      <c r="Y418" s="39"/>
      <c r="AF418" s="39"/>
      <c r="AM418" s="40"/>
      <c r="AT418" s="40"/>
      <c r="BA418" s="41"/>
      <c r="BH418" s="42"/>
      <c r="BO418" s="42"/>
      <c r="BP418" s="43"/>
      <c r="CB418" s="44"/>
      <c r="CC418" s="39"/>
      <c r="CD418" s="39"/>
      <c r="CE418" s="39"/>
      <c r="CF418" s="40"/>
      <c r="CG418" s="40"/>
      <c r="CH418" s="41"/>
      <c r="CI418" s="45"/>
      <c r="CJ418" s="45"/>
      <c r="CK418" s="45"/>
      <c r="CL418" s="45"/>
    </row>
    <row r="419" ht="15.75" customHeight="1">
      <c r="K419" s="38"/>
      <c r="R419" s="39"/>
      <c r="Y419" s="39"/>
      <c r="AF419" s="39"/>
      <c r="AM419" s="40"/>
      <c r="AT419" s="40"/>
      <c r="BA419" s="41"/>
      <c r="BH419" s="42"/>
      <c r="BO419" s="42"/>
      <c r="BP419" s="43"/>
      <c r="CB419" s="44"/>
      <c r="CC419" s="39"/>
      <c r="CD419" s="39"/>
      <c r="CE419" s="39"/>
      <c r="CF419" s="40"/>
      <c r="CG419" s="40"/>
      <c r="CH419" s="41"/>
      <c r="CI419" s="45"/>
      <c r="CJ419" s="45"/>
      <c r="CK419" s="45"/>
      <c r="CL419" s="45"/>
    </row>
    <row r="420" ht="15.75" customHeight="1">
      <c r="K420" s="38"/>
      <c r="R420" s="39"/>
      <c r="Y420" s="39"/>
      <c r="AF420" s="39"/>
      <c r="AM420" s="40"/>
      <c r="AT420" s="40"/>
      <c r="BA420" s="41"/>
      <c r="BH420" s="42"/>
      <c r="BO420" s="42"/>
      <c r="BP420" s="43"/>
      <c r="CB420" s="44"/>
      <c r="CC420" s="39"/>
      <c r="CD420" s="39"/>
      <c r="CE420" s="39"/>
      <c r="CF420" s="40"/>
      <c r="CG420" s="40"/>
      <c r="CH420" s="41"/>
      <c r="CI420" s="45"/>
      <c r="CJ420" s="45"/>
      <c r="CK420" s="45"/>
      <c r="CL420" s="45"/>
    </row>
    <row r="421" ht="15.75" customHeight="1">
      <c r="K421" s="38"/>
      <c r="R421" s="39"/>
      <c r="Y421" s="39"/>
      <c r="AF421" s="39"/>
      <c r="AM421" s="40"/>
      <c r="AT421" s="40"/>
      <c r="BA421" s="41"/>
      <c r="BH421" s="42"/>
      <c r="BO421" s="42"/>
      <c r="BP421" s="43"/>
      <c r="CB421" s="44"/>
      <c r="CC421" s="39"/>
      <c r="CD421" s="39"/>
      <c r="CE421" s="39"/>
      <c r="CF421" s="40"/>
      <c r="CG421" s="40"/>
      <c r="CH421" s="41"/>
      <c r="CI421" s="45"/>
      <c r="CJ421" s="45"/>
      <c r="CK421" s="45"/>
      <c r="CL421" s="45"/>
    </row>
    <row r="422" ht="15.75" customHeight="1">
      <c r="K422" s="38"/>
      <c r="R422" s="39"/>
      <c r="Y422" s="39"/>
      <c r="AF422" s="39"/>
      <c r="AM422" s="40"/>
      <c r="AT422" s="40"/>
      <c r="BA422" s="41"/>
      <c r="BH422" s="42"/>
      <c r="BO422" s="42"/>
      <c r="BP422" s="43"/>
      <c r="CB422" s="44"/>
      <c r="CC422" s="39"/>
      <c r="CD422" s="39"/>
      <c r="CE422" s="39"/>
      <c r="CF422" s="40"/>
      <c r="CG422" s="40"/>
      <c r="CH422" s="41"/>
      <c r="CI422" s="45"/>
      <c r="CJ422" s="45"/>
      <c r="CK422" s="45"/>
      <c r="CL422" s="45"/>
    </row>
    <row r="423" ht="15.75" customHeight="1">
      <c r="K423" s="38"/>
      <c r="R423" s="39"/>
      <c r="Y423" s="39"/>
      <c r="AF423" s="39"/>
      <c r="AM423" s="40"/>
      <c r="AT423" s="40"/>
      <c r="BA423" s="41"/>
      <c r="BH423" s="42"/>
      <c r="BO423" s="42"/>
      <c r="BP423" s="43"/>
      <c r="CB423" s="44"/>
      <c r="CC423" s="39"/>
      <c r="CD423" s="39"/>
      <c r="CE423" s="39"/>
      <c r="CF423" s="40"/>
      <c r="CG423" s="40"/>
      <c r="CH423" s="41"/>
      <c r="CI423" s="45"/>
      <c r="CJ423" s="45"/>
      <c r="CK423" s="45"/>
      <c r="CL423" s="45"/>
    </row>
    <row r="424" ht="15.75" customHeight="1">
      <c r="K424" s="38"/>
      <c r="R424" s="39"/>
      <c r="Y424" s="39"/>
      <c r="AF424" s="39"/>
      <c r="AM424" s="40"/>
      <c r="AT424" s="40"/>
      <c r="BA424" s="41"/>
      <c r="BH424" s="42"/>
      <c r="BO424" s="42"/>
      <c r="BP424" s="43"/>
      <c r="CB424" s="44"/>
      <c r="CC424" s="39"/>
      <c r="CD424" s="39"/>
      <c r="CE424" s="39"/>
      <c r="CF424" s="40"/>
      <c r="CG424" s="40"/>
      <c r="CH424" s="41"/>
      <c r="CI424" s="45"/>
      <c r="CJ424" s="45"/>
      <c r="CK424" s="45"/>
      <c r="CL424" s="45"/>
    </row>
    <row r="425" ht="15.75" customHeight="1">
      <c r="K425" s="38"/>
      <c r="R425" s="39"/>
      <c r="Y425" s="39"/>
      <c r="AF425" s="39"/>
      <c r="AM425" s="40"/>
      <c r="AT425" s="40"/>
      <c r="BA425" s="41"/>
      <c r="BH425" s="42"/>
      <c r="BO425" s="42"/>
      <c r="BP425" s="43"/>
      <c r="CB425" s="44"/>
      <c r="CC425" s="39"/>
      <c r="CD425" s="39"/>
      <c r="CE425" s="39"/>
      <c r="CF425" s="40"/>
      <c r="CG425" s="40"/>
      <c r="CH425" s="41"/>
      <c r="CI425" s="45"/>
      <c r="CJ425" s="45"/>
      <c r="CK425" s="45"/>
      <c r="CL425" s="45"/>
    </row>
    <row r="426" ht="15.75" customHeight="1">
      <c r="K426" s="38"/>
      <c r="R426" s="39"/>
      <c r="Y426" s="39"/>
      <c r="AF426" s="39"/>
      <c r="AM426" s="40"/>
      <c r="AT426" s="40"/>
      <c r="BA426" s="41"/>
      <c r="BH426" s="42"/>
      <c r="BO426" s="42"/>
      <c r="BP426" s="43"/>
      <c r="CB426" s="44"/>
      <c r="CC426" s="39"/>
      <c r="CD426" s="39"/>
      <c r="CE426" s="39"/>
      <c r="CF426" s="40"/>
      <c r="CG426" s="40"/>
      <c r="CH426" s="41"/>
      <c r="CI426" s="45"/>
      <c r="CJ426" s="45"/>
      <c r="CK426" s="45"/>
      <c r="CL426" s="45"/>
    </row>
    <row r="427" ht="15.75" customHeight="1">
      <c r="K427" s="38"/>
      <c r="R427" s="39"/>
      <c r="Y427" s="39"/>
      <c r="AF427" s="39"/>
      <c r="AM427" s="40"/>
      <c r="AT427" s="40"/>
      <c r="BA427" s="41"/>
      <c r="BH427" s="42"/>
      <c r="BO427" s="42"/>
      <c r="BP427" s="43"/>
      <c r="CB427" s="44"/>
      <c r="CC427" s="39"/>
      <c r="CD427" s="39"/>
      <c r="CE427" s="39"/>
      <c r="CF427" s="40"/>
      <c r="CG427" s="40"/>
      <c r="CH427" s="41"/>
      <c r="CI427" s="45"/>
      <c r="CJ427" s="45"/>
      <c r="CK427" s="45"/>
      <c r="CL427" s="45"/>
    </row>
    <row r="428" ht="15.75" customHeight="1">
      <c r="K428" s="38"/>
      <c r="R428" s="39"/>
      <c r="Y428" s="39"/>
      <c r="AF428" s="39"/>
      <c r="AM428" s="40"/>
      <c r="AT428" s="40"/>
      <c r="BA428" s="41"/>
      <c r="BH428" s="42"/>
      <c r="BO428" s="42"/>
      <c r="BP428" s="43"/>
      <c r="CB428" s="44"/>
      <c r="CC428" s="39"/>
      <c r="CD428" s="39"/>
      <c r="CE428" s="39"/>
      <c r="CF428" s="40"/>
      <c r="CG428" s="40"/>
      <c r="CH428" s="41"/>
      <c r="CI428" s="45"/>
      <c r="CJ428" s="45"/>
      <c r="CK428" s="45"/>
      <c r="CL428" s="45"/>
    </row>
    <row r="429" ht="15.75" customHeight="1">
      <c r="K429" s="38"/>
      <c r="R429" s="39"/>
      <c r="Y429" s="39"/>
      <c r="AF429" s="39"/>
      <c r="AM429" s="40"/>
      <c r="AT429" s="40"/>
      <c r="BA429" s="41"/>
      <c r="BH429" s="42"/>
      <c r="BO429" s="42"/>
      <c r="BP429" s="43"/>
      <c r="CB429" s="44"/>
      <c r="CC429" s="39"/>
      <c r="CD429" s="39"/>
      <c r="CE429" s="39"/>
      <c r="CF429" s="40"/>
      <c r="CG429" s="40"/>
      <c r="CH429" s="41"/>
      <c r="CI429" s="45"/>
      <c r="CJ429" s="45"/>
      <c r="CK429" s="45"/>
      <c r="CL429" s="45"/>
    </row>
    <row r="430" ht="15.75" customHeight="1">
      <c r="K430" s="38"/>
      <c r="R430" s="39"/>
      <c r="Y430" s="39"/>
      <c r="AF430" s="39"/>
      <c r="AM430" s="40"/>
      <c r="AT430" s="40"/>
      <c r="BA430" s="41"/>
      <c r="BH430" s="42"/>
      <c r="BO430" s="42"/>
      <c r="BP430" s="43"/>
      <c r="CB430" s="44"/>
      <c r="CC430" s="39"/>
      <c r="CD430" s="39"/>
      <c r="CE430" s="39"/>
      <c r="CF430" s="40"/>
      <c r="CG430" s="40"/>
      <c r="CH430" s="41"/>
      <c r="CI430" s="45"/>
      <c r="CJ430" s="45"/>
      <c r="CK430" s="45"/>
      <c r="CL430" s="45"/>
    </row>
    <row r="431" ht="15.75" customHeight="1">
      <c r="K431" s="38"/>
      <c r="R431" s="39"/>
      <c r="Y431" s="39"/>
      <c r="AF431" s="39"/>
      <c r="AM431" s="40"/>
      <c r="AT431" s="40"/>
      <c r="BA431" s="41"/>
      <c r="BH431" s="42"/>
      <c r="BO431" s="42"/>
      <c r="BP431" s="43"/>
      <c r="CB431" s="44"/>
      <c r="CC431" s="39"/>
      <c r="CD431" s="39"/>
      <c r="CE431" s="39"/>
      <c r="CF431" s="40"/>
      <c r="CG431" s="40"/>
      <c r="CH431" s="41"/>
      <c r="CI431" s="45"/>
      <c r="CJ431" s="45"/>
      <c r="CK431" s="45"/>
      <c r="CL431" s="45"/>
    </row>
    <row r="432" ht="15.75" customHeight="1">
      <c r="K432" s="38"/>
      <c r="R432" s="39"/>
      <c r="Y432" s="39"/>
      <c r="AF432" s="39"/>
      <c r="AM432" s="40"/>
      <c r="AT432" s="40"/>
      <c r="BA432" s="41"/>
      <c r="BH432" s="42"/>
      <c r="BO432" s="42"/>
      <c r="BP432" s="43"/>
      <c r="CB432" s="44"/>
      <c r="CC432" s="39"/>
      <c r="CD432" s="39"/>
      <c r="CE432" s="39"/>
      <c r="CF432" s="40"/>
      <c r="CG432" s="40"/>
      <c r="CH432" s="41"/>
      <c r="CI432" s="45"/>
      <c r="CJ432" s="45"/>
      <c r="CK432" s="45"/>
      <c r="CL432" s="45"/>
    </row>
    <row r="433" ht="15.75" customHeight="1">
      <c r="K433" s="38"/>
      <c r="R433" s="39"/>
      <c r="Y433" s="39"/>
      <c r="AF433" s="39"/>
      <c r="AM433" s="40"/>
      <c r="AT433" s="40"/>
      <c r="BA433" s="41"/>
      <c r="BH433" s="42"/>
      <c r="BO433" s="42"/>
      <c r="BP433" s="43"/>
      <c r="CB433" s="44"/>
      <c r="CC433" s="39"/>
      <c r="CD433" s="39"/>
      <c r="CE433" s="39"/>
      <c r="CF433" s="40"/>
      <c r="CG433" s="40"/>
      <c r="CH433" s="41"/>
      <c r="CI433" s="45"/>
      <c r="CJ433" s="45"/>
      <c r="CK433" s="45"/>
      <c r="CL433" s="45"/>
    </row>
    <row r="434" ht="15.75" customHeight="1">
      <c r="K434" s="38"/>
      <c r="R434" s="39"/>
      <c r="Y434" s="39"/>
      <c r="AF434" s="39"/>
      <c r="AM434" s="40"/>
      <c r="AT434" s="40"/>
      <c r="BA434" s="41"/>
      <c r="BH434" s="42"/>
      <c r="BO434" s="42"/>
      <c r="BP434" s="43"/>
      <c r="CB434" s="44"/>
      <c r="CC434" s="39"/>
      <c r="CD434" s="39"/>
      <c r="CE434" s="39"/>
      <c r="CF434" s="40"/>
      <c r="CG434" s="40"/>
      <c r="CH434" s="41"/>
      <c r="CI434" s="45"/>
      <c r="CJ434" s="45"/>
      <c r="CK434" s="45"/>
      <c r="CL434" s="45"/>
    </row>
    <row r="435" ht="15.75" customHeight="1">
      <c r="K435" s="38"/>
      <c r="R435" s="39"/>
      <c r="Y435" s="39"/>
      <c r="AF435" s="39"/>
      <c r="AM435" s="40"/>
      <c r="AT435" s="40"/>
      <c r="BA435" s="41"/>
      <c r="BH435" s="42"/>
      <c r="BO435" s="42"/>
      <c r="BP435" s="43"/>
      <c r="CB435" s="44"/>
      <c r="CC435" s="39"/>
      <c r="CD435" s="39"/>
      <c r="CE435" s="39"/>
      <c r="CF435" s="40"/>
      <c r="CG435" s="40"/>
      <c r="CH435" s="41"/>
      <c r="CI435" s="45"/>
      <c r="CJ435" s="45"/>
      <c r="CK435" s="45"/>
      <c r="CL435" s="45"/>
    </row>
    <row r="436" ht="15.75" customHeight="1">
      <c r="K436" s="38"/>
      <c r="R436" s="39"/>
      <c r="Y436" s="39"/>
      <c r="AF436" s="39"/>
      <c r="AM436" s="40"/>
      <c r="AT436" s="40"/>
      <c r="BA436" s="41"/>
      <c r="BH436" s="42"/>
      <c r="BO436" s="42"/>
      <c r="BP436" s="43"/>
      <c r="CB436" s="44"/>
      <c r="CC436" s="39"/>
      <c r="CD436" s="39"/>
      <c r="CE436" s="39"/>
      <c r="CF436" s="40"/>
      <c r="CG436" s="40"/>
      <c r="CH436" s="41"/>
      <c r="CI436" s="45"/>
      <c r="CJ436" s="45"/>
      <c r="CK436" s="45"/>
      <c r="CL436" s="45"/>
    </row>
    <row r="437" ht="15.75" customHeight="1">
      <c r="K437" s="38"/>
      <c r="R437" s="39"/>
      <c r="Y437" s="39"/>
      <c r="AF437" s="39"/>
      <c r="AM437" s="40"/>
      <c r="AT437" s="40"/>
      <c r="BA437" s="41"/>
      <c r="BH437" s="42"/>
      <c r="BO437" s="42"/>
      <c r="BP437" s="43"/>
      <c r="CB437" s="44"/>
      <c r="CC437" s="39"/>
      <c r="CD437" s="39"/>
      <c r="CE437" s="39"/>
      <c r="CF437" s="40"/>
      <c r="CG437" s="40"/>
      <c r="CH437" s="41"/>
      <c r="CI437" s="45"/>
      <c r="CJ437" s="45"/>
      <c r="CK437" s="45"/>
      <c r="CL437" s="45"/>
    </row>
    <row r="438" ht="15.75" customHeight="1">
      <c r="K438" s="38"/>
      <c r="R438" s="39"/>
      <c r="Y438" s="39"/>
      <c r="AF438" s="39"/>
      <c r="AM438" s="40"/>
      <c r="AT438" s="40"/>
      <c r="BA438" s="41"/>
      <c r="BH438" s="42"/>
      <c r="BO438" s="42"/>
      <c r="BP438" s="43"/>
      <c r="CB438" s="44"/>
      <c r="CC438" s="39"/>
      <c r="CD438" s="39"/>
      <c r="CE438" s="39"/>
      <c r="CF438" s="40"/>
      <c r="CG438" s="40"/>
      <c r="CH438" s="41"/>
      <c r="CI438" s="45"/>
      <c r="CJ438" s="45"/>
      <c r="CK438" s="45"/>
      <c r="CL438" s="45"/>
    </row>
    <row r="439" ht="15.75" customHeight="1">
      <c r="K439" s="38"/>
      <c r="R439" s="39"/>
      <c r="Y439" s="39"/>
      <c r="AF439" s="39"/>
      <c r="AM439" s="40"/>
      <c r="AT439" s="40"/>
      <c r="BA439" s="41"/>
      <c r="BH439" s="42"/>
      <c r="BO439" s="42"/>
      <c r="BP439" s="43"/>
      <c r="CB439" s="44"/>
      <c r="CC439" s="39"/>
      <c r="CD439" s="39"/>
      <c r="CE439" s="39"/>
      <c r="CF439" s="40"/>
      <c r="CG439" s="40"/>
      <c r="CH439" s="41"/>
      <c r="CI439" s="45"/>
      <c r="CJ439" s="45"/>
      <c r="CK439" s="45"/>
      <c r="CL439" s="45"/>
    </row>
    <row r="440" ht="15.75" customHeight="1">
      <c r="K440" s="38"/>
      <c r="R440" s="39"/>
      <c r="Y440" s="39"/>
      <c r="AF440" s="39"/>
      <c r="AM440" s="40"/>
      <c r="AT440" s="40"/>
      <c r="BA440" s="41"/>
      <c r="BH440" s="42"/>
      <c r="BO440" s="42"/>
      <c r="BP440" s="43"/>
      <c r="CB440" s="44"/>
      <c r="CC440" s="39"/>
      <c r="CD440" s="39"/>
      <c r="CE440" s="39"/>
      <c r="CF440" s="40"/>
      <c r="CG440" s="40"/>
      <c r="CH440" s="41"/>
      <c r="CI440" s="45"/>
      <c r="CJ440" s="45"/>
      <c r="CK440" s="45"/>
      <c r="CL440" s="45"/>
    </row>
    <row r="441" ht="15.75" customHeight="1">
      <c r="K441" s="38"/>
      <c r="R441" s="39"/>
      <c r="Y441" s="39"/>
      <c r="AF441" s="39"/>
      <c r="AM441" s="40"/>
      <c r="AT441" s="40"/>
      <c r="BA441" s="41"/>
      <c r="BH441" s="42"/>
      <c r="BO441" s="42"/>
      <c r="BP441" s="43"/>
      <c r="CB441" s="44"/>
      <c r="CC441" s="39"/>
      <c r="CD441" s="39"/>
      <c r="CE441" s="39"/>
      <c r="CF441" s="40"/>
      <c r="CG441" s="40"/>
      <c r="CH441" s="41"/>
      <c r="CI441" s="45"/>
      <c r="CJ441" s="45"/>
      <c r="CK441" s="45"/>
      <c r="CL441" s="45"/>
    </row>
    <row r="442" ht="15.75" customHeight="1">
      <c r="K442" s="38"/>
      <c r="R442" s="39"/>
      <c r="Y442" s="39"/>
      <c r="AF442" s="39"/>
      <c r="AM442" s="40"/>
      <c r="AT442" s="40"/>
      <c r="BA442" s="41"/>
      <c r="BH442" s="42"/>
      <c r="BO442" s="42"/>
      <c r="BP442" s="43"/>
      <c r="CB442" s="44"/>
      <c r="CC442" s="39"/>
      <c r="CD442" s="39"/>
      <c r="CE442" s="39"/>
      <c r="CF442" s="40"/>
      <c r="CG442" s="40"/>
      <c r="CH442" s="41"/>
      <c r="CI442" s="45"/>
      <c r="CJ442" s="45"/>
      <c r="CK442" s="45"/>
      <c r="CL442" s="45"/>
    </row>
    <row r="443" ht="15.75" customHeight="1">
      <c r="K443" s="38"/>
      <c r="R443" s="39"/>
      <c r="Y443" s="39"/>
      <c r="AF443" s="39"/>
      <c r="AM443" s="40"/>
      <c r="AT443" s="40"/>
      <c r="BA443" s="41"/>
      <c r="BH443" s="42"/>
      <c r="BO443" s="42"/>
      <c r="BP443" s="43"/>
      <c r="CB443" s="44"/>
      <c r="CC443" s="39"/>
      <c r="CD443" s="39"/>
      <c r="CE443" s="39"/>
      <c r="CF443" s="40"/>
      <c r="CG443" s="40"/>
      <c r="CH443" s="41"/>
      <c r="CI443" s="45"/>
      <c r="CJ443" s="45"/>
      <c r="CK443" s="45"/>
      <c r="CL443" s="45"/>
    </row>
    <row r="444" ht="15.75" customHeight="1">
      <c r="K444" s="38"/>
      <c r="R444" s="39"/>
      <c r="Y444" s="39"/>
      <c r="AF444" s="39"/>
      <c r="AM444" s="40"/>
      <c r="AT444" s="40"/>
      <c r="BA444" s="41"/>
      <c r="BH444" s="42"/>
      <c r="BO444" s="42"/>
      <c r="BP444" s="43"/>
      <c r="CB444" s="44"/>
      <c r="CC444" s="39"/>
      <c r="CD444" s="39"/>
      <c r="CE444" s="39"/>
      <c r="CF444" s="40"/>
      <c r="CG444" s="40"/>
      <c r="CH444" s="41"/>
      <c r="CI444" s="45"/>
      <c r="CJ444" s="45"/>
      <c r="CK444" s="45"/>
      <c r="CL444" s="45"/>
    </row>
    <row r="445" ht="15.75" customHeight="1">
      <c r="K445" s="38"/>
      <c r="R445" s="39"/>
      <c r="Y445" s="39"/>
      <c r="AF445" s="39"/>
      <c r="AM445" s="40"/>
      <c r="AT445" s="40"/>
      <c r="BA445" s="41"/>
      <c r="BH445" s="42"/>
      <c r="BO445" s="42"/>
      <c r="BP445" s="43"/>
      <c r="CB445" s="44"/>
      <c r="CC445" s="39"/>
      <c r="CD445" s="39"/>
      <c r="CE445" s="39"/>
      <c r="CF445" s="40"/>
      <c r="CG445" s="40"/>
      <c r="CH445" s="41"/>
      <c r="CI445" s="45"/>
      <c r="CJ445" s="45"/>
      <c r="CK445" s="45"/>
      <c r="CL445" s="45"/>
    </row>
    <row r="446" ht="15.75" customHeight="1">
      <c r="K446" s="38"/>
      <c r="R446" s="39"/>
      <c r="Y446" s="39"/>
      <c r="AF446" s="39"/>
      <c r="AM446" s="40"/>
      <c r="AT446" s="40"/>
      <c r="BA446" s="41"/>
      <c r="BH446" s="42"/>
      <c r="BO446" s="42"/>
      <c r="BP446" s="43"/>
      <c r="CB446" s="44"/>
      <c r="CC446" s="39"/>
      <c r="CD446" s="39"/>
      <c r="CE446" s="39"/>
      <c r="CF446" s="40"/>
      <c r="CG446" s="40"/>
      <c r="CH446" s="41"/>
      <c r="CI446" s="45"/>
      <c r="CJ446" s="45"/>
      <c r="CK446" s="45"/>
      <c r="CL446" s="45"/>
    </row>
    <row r="447" ht="15.75" customHeight="1">
      <c r="K447" s="38"/>
      <c r="R447" s="39"/>
      <c r="Y447" s="39"/>
      <c r="AF447" s="39"/>
      <c r="AM447" s="40"/>
      <c r="AT447" s="40"/>
      <c r="BA447" s="41"/>
      <c r="BH447" s="42"/>
      <c r="BO447" s="42"/>
      <c r="BP447" s="43"/>
      <c r="CB447" s="44"/>
      <c r="CC447" s="39"/>
      <c r="CD447" s="39"/>
      <c r="CE447" s="39"/>
      <c r="CF447" s="40"/>
      <c r="CG447" s="40"/>
      <c r="CH447" s="41"/>
      <c r="CI447" s="45"/>
      <c r="CJ447" s="45"/>
      <c r="CK447" s="45"/>
      <c r="CL447" s="45"/>
    </row>
    <row r="448" ht="15.75" customHeight="1">
      <c r="K448" s="38"/>
      <c r="R448" s="39"/>
      <c r="Y448" s="39"/>
      <c r="AF448" s="39"/>
      <c r="AM448" s="40"/>
      <c r="AT448" s="40"/>
      <c r="BA448" s="41"/>
      <c r="BH448" s="42"/>
      <c r="BO448" s="42"/>
      <c r="BP448" s="43"/>
      <c r="CB448" s="44"/>
      <c r="CC448" s="39"/>
      <c r="CD448" s="39"/>
      <c r="CE448" s="39"/>
      <c r="CF448" s="40"/>
      <c r="CG448" s="40"/>
      <c r="CH448" s="41"/>
      <c r="CI448" s="45"/>
      <c r="CJ448" s="45"/>
      <c r="CK448" s="45"/>
      <c r="CL448" s="45"/>
    </row>
    <row r="449" ht="15.75" customHeight="1">
      <c r="K449" s="38"/>
      <c r="R449" s="39"/>
      <c r="Y449" s="39"/>
      <c r="AF449" s="39"/>
      <c r="AM449" s="40"/>
      <c r="AT449" s="40"/>
      <c r="BA449" s="41"/>
      <c r="BH449" s="42"/>
      <c r="BO449" s="42"/>
      <c r="BP449" s="43"/>
      <c r="CB449" s="44"/>
      <c r="CC449" s="39"/>
      <c r="CD449" s="39"/>
      <c r="CE449" s="39"/>
      <c r="CF449" s="40"/>
      <c r="CG449" s="40"/>
      <c r="CH449" s="41"/>
      <c r="CI449" s="45"/>
      <c r="CJ449" s="45"/>
      <c r="CK449" s="45"/>
      <c r="CL449" s="45"/>
    </row>
    <row r="450" ht="15.75" customHeight="1">
      <c r="K450" s="38"/>
      <c r="R450" s="39"/>
      <c r="Y450" s="39"/>
      <c r="AF450" s="39"/>
      <c r="AM450" s="40"/>
      <c r="AT450" s="40"/>
      <c r="BA450" s="41"/>
      <c r="BH450" s="42"/>
      <c r="BO450" s="42"/>
      <c r="BP450" s="43"/>
      <c r="CB450" s="44"/>
      <c r="CC450" s="39"/>
      <c r="CD450" s="39"/>
      <c r="CE450" s="39"/>
      <c r="CF450" s="40"/>
      <c r="CG450" s="40"/>
      <c r="CH450" s="41"/>
      <c r="CI450" s="45"/>
      <c r="CJ450" s="45"/>
      <c r="CK450" s="45"/>
      <c r="CL450" s="45"/>
    </row>
    <row r="451" ht="15.75" customHeight="1">
      <c r="K451" s="38"/>
      <c r="R451" s="39"/>
      <c r="Y451" s="39"/>
      <c r="AF451" s="39"/>
      <c r="AM451" s="40"/>
      <c r="AT451" s="40"/>
      <c r="BA451" s="41"/>
      <c r="BH451" s="42"/>
      <c r="BO451" s="42"/>
      <c r="BP451" s="43"/>
      <c r="CB451" s="44"/>
      <c r="CC451" s="39"/>
      <c r="CD451" s="39"/>
      <c r="CE451" s="39"/>
      <c r="CF451" s="40"/>
      <c r="CG451" s="40"/>
      <c r="CH451" s="41"/>
      <c r="CI451" s="45"/>
      <c r="CJ451" s="45"/>
      <c r="CK451" s="45"/>
      <c r="CL451" s="45"/>
    </row>
    <row r="452" ht="15.75" customHeight="1">
      <c r="K452" s="38"/>
      <c r="R452" s="39"/>
      <c r="Y452" s="39"/>
      <c r="AF452" s="39"/>
      <c r="AM452" s="40"/>
      <c r="AT452" s="40"/>
      <c r="BA452" s="41"/>
      <c r="BH452" s="42"/>
      <c r="BO452" s="42"/>
      <c r="BP452" s="43"/>
      <c r="CB452" s="44"/>
      <c r="CC452" s="39"/>
      <c r="CD452" s="39"/>
      <c r="CE452" s="39"/>
      <c r="CF452" s="40"/>
      <c r="CG452" s="40"/>
      <c r="CH452" s="41"/>
      <c r="CI452" s="45"/>
      <c r="CJ452" s="45"/>
      <c r="CK452" s="45"/>
      <c r="CL452" s="45"/>
    </row>
    <row r="453" ht="15.75" customHeight="1">
      <c r="K453" s="38"/>
      <c r="R453" s="39"/>
      <c r="Y453" s="39"/>
      <c r="AF453" s="39"/>
      <c r="AM453" s="40"/>
      <c r="AT453" s="40"/>
      <c r="BA453" s="41"/>
      <c r="BH453" s="42"/>
      <c r="BO453" s="42"/>
      <c r="BP453" s="43"/>
      <c r="CB453" s="44"/>
      <c r="CC453" s="39"/>
      <c r="CD453" s="39"/>
      <c r="CE453" s="39"/>
      <c r="CF453" s="40"/>
      <c r="CG453" s="40"/>
      <c r="CH453" s="41"/>
      <c r="CI453" s="45"/>
      <c r="CJ453" s="45"/>
      <c r="CK453" s="45"/>
      <c r="CL453" s="45"/>
    </row>
    <row r="454" ht="15.75" customHeight="1">
      <c r="K454" s="38"/>
      <c r="R454" s="39"/>
      <c r="Y454" s="39"/>
      <c r="AF454" s="39"/>
      <c r="AM454" s="40"/>
      <c r="AT454" s="40"/>
      <c r="BA454" s="41"/>
      <c r="BH454" s="42"/>
      <c r="BO454" s="42"/>
      <c r="BP454" s="43"/>
      <c r="CB454" s="44"/>
      <c r="CC454" s="39"/>
      <c r="CD454" s="39"/>
      <c r="CE454" s="39"/>
      <c r="CF454" s="40"/>
      <c r="CG454" s="40"/>
      <c r="CH454" s="41"/>
      <c r="CI454" s="45"/>
      <c r="CJ454" s="45"/>
      <c r="CK454" s="45"/>
      <c r="CL454" s="45"/>
    </row>
    <row r="455" ht="15.75" customHeight="1">
      <c r="K455" s="38"/>
      <c r="R455" s="39"/>
      <c r="Y455" s="39"/>
      <c r="AF455" s="39"/>
      <c r="AM455" s="40"/>
      <c r="AT455" s="40"/>
      <c r="BA455" s="41"/>
      <c r="BH455" s="42"/>
      <c r="BO455" s="42"/>
      <c r="BP455" s="43"/>
      <c r="CB455" s="44"/>
      <c r="CC455" s="39"/>
      <c r="CD455" s="39"/>
      <c r="CE455" s="39"/>
      <c r="CF455" s="40"/>
      <c r="CG455" s="40"/>
      <c r="CH455" s="41"/>
      <c r="CI455" s="45"/>
      <c r="CJ455" s="45"/>
      <c r="CK455" s="45"/>
      <c r="CL455" s="45"/>
    </row>
    <row r="456" ht="15.75" customHeight="1">
      <c r="K456" s="38"/>
      <c r="R456" s="39"/>
      <c r="Y456" s="39"/>
      <c r="AF456" s="39"/>
      <c r="AM456" s="40"/>
      <c r="AT456" s="40"/>
      <c r="BA456" s="41"/>
      <c r="BH456" s="42"/>
      <c r="BO456" s="42"/>
      <c r="BP456" s="43"/>
      <c r="CB456" s="44"/>
      <c r="CC456" s="39"/>
      <c r="CD456" s="39"/>
      <c r="CE456" s="39"/>
      <c r="CF456" s="40"/>
      <c r="CG456" s="40"/>
      <c r="CH456" s="41"/>
      <c r="CI456" s="45"/>
      <c r="CJ456" s="45"/>
      <c r="CK456" s="45"/>
      <c r="CL456" s="45"/>
    </row>
    <row r="457" ht="15.75" customHeight="1">
      <c r="K457" s="38"/>
      <c r="R457" s="39"/>
      <c r="Y457" s="39"/>
      <c r="AF457" s="39"/>
      <c r="AM457" s="40"/>
      <c r="AT457" s="40"/>
      <c r="BA457" s="41"/>
      <c r="BH457" s="42"/>
      <c r="BO457" s="42"/>
      <c r="BP457" s="43"/>
      <c r="CB457" s="44"/>
      <c r="CC457" s="39"/>
      <c r="CD457" s="39"/>
      <c r="CE457" s="39"/>
      <c r="CF457" s="40"/>
      <c r="CG457" s="40"/>
      <c r="CH457" s="41"/>
      <c r="CI457" s="45"/>
      <c r="CJ457" s="45"/>
      <c r="CK457" s="45"/>
      <c r="CL457" s="45"/>
    </row>
    <row r="458" ht="15.75" customHeight="1">
      <c r="K458" s="38"/>
      <c r="R458" s="39"/>
      <c r="Y458" s="39"/>
      <c r="AF458" s="39"/>
      <c r="AM458" s="40"/>
      <c r="AT458" s="40"/>
      <c r="BA458" s="41"/>
      <c r="BH458" s="42"/>
      <c r="BO458" s="42"/>
      <c r="BP458" s="43"/>
      <c r="CB458" s="44"/>
      <c r="CC458" s="39"/>
      <c r="CD458" s="39"/>
      <c r="CE458" s="39"/>
      <c r="CF458" s="40"/>
      <c r="CG458" s="40"/>
      <c r="CH458" s="41"/>
      <c r="CI458" s="45"/>
      <c r="CJ458" s="45"/>
      <c r="CK458" s="45"/>
      <c r="CL458" s="45"/>
    </row>
    <row r="459" ht="15.75" customHeight="1">
      <c r="K459" s="38"/>
      <c r="R459" s="39"/>
      <c r="Y459" s="39"/>
      <c r="AF459" s="39"/>
      <c r="AM459" s="40"/>
      <c r="AT459" s="40"/>
      <c r="BA459" s="41"/>
      <c r="BH459" s="42"/>
      <c r="BO459" s="42"/>
      <c r="BP459" s="43"/>
      <c r="CB459" s="44"/>
      <c r="CC459" s="39"/>
      <c r="CD459" s="39"/>
      <c r="CE459" s="39"/>
      <c r="CF459" s="40"/>
      <c r="CG459" s="40"/>
      <c r="CH459" s="41"/>
      <c r="CI459" s="45"/>
      <c r="CJ459" s="45"/>
      <c r="CK459" s="45"/>
      <c r="CL459" s="45"/>
    </row>
    <row r="460" ht="15.75" customHeight="1">
      <c r="K460" s="38"/>
      <c r="R460" s="39"/>
      <c r="Y460" s="39"/>
      <c r="AF460" s="39"/>
      <c r="AM460" s="40"/>
      <c r="AT460" s="40"/>
      <c r="BA460" s="41"/>
      <c r="BH460" s="42"/>
      <c r="BO460" s="42"/>
      <c r="BP460" s="43"/>
      <c r="CB460" s="44"/>
      <c r="CC460" s="39"/>
      <c r="CD460" s="39"/>
      <c r="CE460" s="39"/>
      <c r="CF460" s="40"/>
      <c r="CG460" s="40"/>
      <c r="CH460" s="41"/>
      <c r="CI460" s="45"/>
      <c r="CJ460" s="45"/>
      <c r="CK460" s="45"/>
      <c r="CL460" s="45"/>
    </row>
    <row r="461" ht="15.75" customHeight="1">
      <c r="K461" s="38"/>
      <c r="R461" s="39"/>
      <c r="Y461" s="39"/>
      <c r="AF461" s="39"/>
      <c r="AM461" s="40"/>
      <c r="AT461" s="40"/>
      <c r="BA461" s="41"/>
      <c r="BH461" s="42"/>
      <c r="BO461" s="42"/>
      <c r="BP461" s="43"/>
      <c r="CB461" s="44"/>
      <c r="CC461" s="39"/>
      <c r="CD461" s="39"/>
      <c r="CE461" s="39"/>
      <c r="CF461" s="40"/>
      <c r="CG461" s="40"/>
      <c r="CH461" s="41"/>
      <c r="CI461" s="45"/>
      <c r="CJ461" s="45"/>
      <c r="CK461" s="45"/>
      <c r="CL461" s="45"/>
    </row>
    <row r="462" ht="15.75" customHeight="1">
      <c r="K462" s="38"/>
      <c r="R462" s="39"/>
      <c r="Y462" s="39"/>
      <c r="AF462" s="39"/>
      <c r="AM462" s="40"/>
      <c r="AT462" s="40"/>
      <c r="BA462" s="41"/>
      <c r="BH462" s="42"/>
      <c r="BO462" s="42"/>
      <c r="BP462" s="43"/>
      <c r="CB462" s="44"/>
      <c r="CC462" s="39"/>
      <c r="CD462" s="39"/>
      <c r="CE462" s="39"/>
      <c r="CF462" s="40"/>
      <c r="CG462" s="40"/>
      <c r="CH462" s="41"/>
      <c r="CI462" s="45"/>
      <c r="CJ462" s="45"/>
      <c r="CK462" s="45"/>
      <c r="CL462" s="45"/>
    </row>
    <row r="463" ht="15.75" customHeight="1">
      <c r="K463" s="38"/>
      <c r="R463" s="39"/>
      <c r="Y463" s="39"/>
      <c r="AF463" s="39"/>
      <c r="AM463" s="40"/>
      <c r="AT463" s="40"/>
      <c r="BA463" s="41"/>
      <c r="BH463" s="42"/>
      <c r="BO463" s="42"/>
      <c r="BP463" s="43"/>
      <c r="CB463" s="44"/>
      <c r="CC463" s="39"/>
      <c r="CD463" s="39"/>
      <c r="CE463" s="39"/>
      <c r="CF463" s="40"/>
      <c r="CG463" s="40"/>
      <c r="CH463" s="41"/>
      <c r="CI463" s="45"/>
      <c r="CJ463" s="45"/>
      <c r="CK463" s="45"/>
      <c r="CL463" s="45"/>
    </row>
    <row r="464" ht="15.75" customHeight="1">
      <c r="K464" s="38"/>
      <c r="R464" s="39"/>
      <c r="Y464" s="39"/>
      <c r="AF464" s="39"/>
      <c r="AM464" s="40"/>
      <c r="AT464" s="40"/>
      <c r="BA464" s="41"/>
      <c r="BH464" s="42"/>
      <c r="BO464" s="42"/>
      <c r="BP464" s="43"/>
      <c r="CB464" s="44"/>
      <c r="CC464" s="39"/>
      <c r="CD464" s="39"/>
      <c r="CE464" s="39"/>
      <c r="CF464" s="40"/>
      <c r="CG464" s="40"/>
      <c r="CH464" s="41"/>
      <c r="CI464" s="45"/>
      <c r="CJ464" s="45"/>
      <c r="CK464" s="45"/>
      <c r="CL464" s="45"/>
    </row>
    <row r="465" ht="15.75" customHeight="1">
      <c r="K465" s="38"/>
      <c r="R465" s="39"/>
      <c r="Y465" s="39"/>
      <c r="AF465" s="39"/>
      <c r="AM465" s="40"/>
      <c r="AT465" s="40"/>
      <c r="BA465" s="41"/>
      <c r="BH465" s="42"/>
      <c r="BO465" s="42"/>
      <c r="BP465" s="43"/>
      <c r="CB465" s="44"/>
      <c r="CC465" s="39"/>
      <c r="CD465" s="39"/>
      <c r="CE465" s="39"/>
      <c r="CF465" s="40"/>
      <c r="CG465" s="40"/>
      <c r="CH465" s="41"/>
      <c r="CI465" s="45"/>
      <c r="CJ465" s="45"/>
      <c r="CK465" s="45"/>
      <c r="CL465" s="45"/>
    </row>
    <row r="466" ht="15.75" customHeight="1">
      <c r="K466" s="38"/>
      <c r="R466" s="39"/>
      <c r="Y466" s="39"/>
      <c r="AF466" s="39"/>
      <c r="AM466" s="40"/>
      <c r="AT466" s="40"/>
      <c r="BA466" s="41"/>
      <c r="BH466" s="42"/>
      <c r="BO466" s="42"/>
      <c r="BP466" s="43"/>
      <c r="CB466" s="44"/>
      <c r="CC466" s="39"/>
      <c r="CD466" s="39"/>
      <c r="CE466" s="39"/>
      <c r="CF466" s="40"/>
      <c r="CG466" s="40"/>
      <c r="CH466" s="41"/>
      <c r="CI466" s="45"/>
      <c r="CJ466" s="45"/>
      <c r="CK466" s="45"/>
      <c r="CL466" s="45"/>
    </row>
    <row r="467" ht="15.75" customHeight="1">
      <c r="K467" s="38"/>
      <c r="R467" s="39"/>
      <c r="Y467" s="39"/>
      <c r="AF467" s="39"/>
      <c r="AM467" s="40"/>
      <c r="AT467" s="40"/>
      <c r="BA467" s="41"/>
      <c r="BH467" s="42"/>
      <c r="BO467" s="42"/>
      <c r="BP467" s="43"/>
      <c r="CB467" s="44"/>
      <c r="CC467" s="39"/>
      <c r="CD467" s="39"/>
      <c r="CE467" s="39"/>
      <c r="CF467" s="40"/>
      <c r="CG467" s="40"/>
      <c r="CH467" s="41"/>
      <c r="CI467" s="45"/>
      <c r="CJ467" s="45"/>
      <c r="CK467" s="45"/>
      <c r="CL467" s="45"/>
    </row>
    <row r="468" ht="15.75" customHeight="1">
      <c r="K468" s="38"/>
      <c r="R468" s="39"/>
      <c r="Y468" s="39"/>
      <c r="AF468" s="39"/>
      <c r="AM468" s="40"/>
      <c r="AT468" s="40"/>
      <c r="BA468" s="41"/>
      <c r="BH468" s="42"/>
      <c r="BO468" s="42"/>
      <c r="BP468" s="43"/>
      <c r="CB468" s="44"/>
      <c r="CC468" s="39"/>
      <c r="CD468" s="39"/>
      <c r="CE468" s="39"/>
      <c r="CF468" s="40"/>
      <c r="CG468" s="40"/>
      <c r="CH468" s="41"/>
      <c r="CI468" s="45"/>
      <c r="CJ468" s="45"/>
      <c r="CK468" s="45"/>
      <c r="CL468" s="45"/>
    </row>
    <row r="469" ht="15.75" customHeight="1">
      <c r="K469" s="38"/>
      <c r="R469" s="39"/>
      <c r="Y469" s="39"/>
      <c r="AF469" s="39"/>
      <c r="AM469" s="40"/>
      <c r="AT469" s="40"/>
      <c r="BA469" s="41"/>
      <c r="BH469" s="42"/>
      <c r="BO469" s="42"/>
      <c r="BP469" s="43"/>
      <c r="CB469" s="44"/>
      <c r="CC469" s="39"/>
      <c r="CD469" s="39"/>
      <c r="CE469" s="39"/>
      <c r="CF469" s="40"/>
      <c r="CG469" s="40"/>
      <c r="CH469" s="41"/>
      <c r="CI469" s="45"/>
      <c r="CJ469" s="45"/>
      <c r="CK469" s="45"/>
      <c r="CL469" s="45"/>
    </row>
    <row r="470" ht="15.75" customHeight="1">
      <c r="K470" s="38"/>
      <c r="R470" s="39"/>
      <c r="Y470" s="39"/>
      <c r="AF470" s="39"/>
      <c r="AM470" s="40"/>
      <c r="AT470" s="40"/>
      <c r="BA470" s="41"/>
      <c r="BH470" s="42"/>
      <c r="BO470" s="42"/>
      <c r="BP470" s="43"/>
      <c r="CB470" s="44"/>
      <c r="CC470" s="39"/>
      <c r="CD470" s="39"/>
      <c r="CE470" s="39"/>
      <c r="CF470" s="40"/>
      <c r="CG470" s="40"/>
      <c r="CH470" s="41"/>
      <c r="CI470" s="45"/>
      <c r="CJ470" s="45"/>
      <c r="CK470" s="45"/>
      <c r="CL470" s="45"/>
    </row>
    <row r="471" ht="15.75" customHeight="1">
      <c r="K471" s="38"/>
      <c r="R471" s="39"/>
      <c r="Y471" s="39"/>
      <c r="AF471" s="39"/>
      <c r="AM471" s="40"/>
      <c r="AT471" s="40"/>
      <c r="BA471" s="41"/>
      <c r="BH471" s="42"/>
      <c r="BO471" s="42"/>
      <c r="BP471" s="43"/>
      <c r="CB471" s="44"/>
      <c r="CC471" s="39"/>
      <c r="CD471" s="39"/>
      <c r="CE471" s="39"/>
      <c r="CF471" s="40"/>
      <c r="CG471" s="40"/>
      <c r="CH471" s="41"/>
      <c r="CI471" s="45"/>
      <c r="CJ471" s="45"/>
      <c r="CK471" s="45"/>
      <c r="CL471" s="45"/>
    </row>
    <row r="472" ht="15.75" customHeight="1">
      <c r="K472" s="38"/>
      <c r="R472" s="39"/>
      <c r="Y472" s="39"/>
      <c r="AF472" s="39"/>
      <c r="AM472" s="40"/>
      <c r="AT472" s="40"/>
      <c r="BA472" s="41"/>
      <c r="BH472" s="42"/>
      <c r="BO472" s="42"/>
      <c r="BP472" s="43"/>
      <c r="CB472" s="44"/>
      <c r="CC472" s="39"/>
      <c r="CD472" s="39"/>
      <c r="CE472" s="39"/>
      <c r="CF472" s="40"/>
      <c r="CG472" s="40"/>
      <c r="CH472" s="41"/>
      <c r="CI472" s="45"/>
      <c r="CJ472" s="45"/>
      <c r="CK472" s="45"/>
      <c r="CL472" s="45"/>
    </row>
    <row r="473" ht="15.75" customHeight="1">
      <c r="K473" s="38"/>
      <c r="R473" s="39"/>
      <c r="Y473" s="39"/>
      <c r="AF473" s="39"/>
      <c r="AM473" s="40"/>
      <c r="AT473" s="40"/>
      <c r="BA473" s="41"/>
      <c r="BH473" s="42"/>
      <c r="BO473" s="42"/>
      <c r="BP473" s="43"/>
      <c r="CB473" s="44"/>
      <c r="CC473" s="39"/>
      <c r="CD473" s="39"/>
      <c r="CE473" s="39"/>
      <c r="CF473" s="40"/>
      <c r="CG473" s="40"/>
      <c r="CH473" s="41"/>
      <c r="CI473" s="45"/>
      <c r="CJ473" s="45"/>
      <c r="CK473" s="45"/>
      <c r="CL473" s="45"/>
    </row>
    <row r="474" ht="15.75" customHeight="1">
      <c r="K474" s="38"/>
      <c r="R474" s="39"/>
      <c r="Y474" s="39"/>
      <c r="AF474" s="39"/>
      <c r="AM474" s="40"/>
      <c r="AT474" s="40"/>
      <c r="BA474" s="41"/>
      <c r="BH474" s="42"/>
      <c r="BO474" s="42"/>
      <c r="BP474" s="43"/>
      <c r="CB474" s="44"/>
      <c r="CC474" s="39"/>
      <c r="CD474" s="39"/>
      <c r="CE474" s="39"/>
      <c r="CF474" s="40"/>
      <c r="CG474" s="40"/>
      <c r="CH474" s="41"/>
      <c r="CI474" s="45"/>
      <c r="CJ474" s="45"/>
      <c r="CK474" s="45"/>
      <c r="CL474" s="45"/>
    </row>
    <row r="475" ht="15.75" customHeight="1">
      <c r="K475" s="38"/>
      <c r="R475" s="39"/>
      <c r="Y475" s="39"/>
      <c r="AF475" s="39"/>
      <c r="AM475" s="40"/>
      <c r="AT475" s="40"/>
      <c r="BA475" s="41"/>
      <c r="BH475" s="42"/>
      <c r="BO475" s="42"/>
      <c r="BP475" s="43"/>
      <c r="CB475" s="44"/>
      <c r="CC475" s="39"/>
      <c r="CD475" s="39"/>
      <c r="CE475" s="39"/>
      <c r="CF475" s="40"/>
      <c r="CG475" s="40"/>
      <c r="CH475" s="41"/>
      <c r="CI475" s="45"/>
      <c r="CJ475" s="45"/>
      <c r="CK475" s="45"/>
      <c r="CL475" s="45"/>
    </row>
    <row r="476" ht="15.75" customHeight="1">
      <c r="K476" s="38"/>
      <c r="R476" s="39"/>
      <c r="Y476" s="39"/>
      <c r="AF476" s="39"/>
      <c r="AM476" s="40"/>
      <c r="AT476" s="40"/>
      <c r="BA476" s="41"/>
      <c r="BH476" s="42"/>
      <c r="BO476" s="42"/>
      <c r="BP476" s="43"/>
      <c r="CB476" s="44"/>
      <c r="CC476" s="39"/>
      <c r="CD476" s="39"/>
      <c r="CE476" s="39"/>
      <c r="CF476" s="40"/>
      <c r="CG476" s="40"/>
      <c r="CH476" s="41"/>
      <c r="CI476" s="45"/>
      <c r="CJ476" s="45"/>
      <c r="CK476" s="45"/>
      <c r="CL476" s="45"/>
    </row>
    <row r="477" ht="15.75" customHeight="1">
      <c r="K477" s="38"/>
      <c r="R477" s="39"/>
      <c r="Y477" s="39"/>
      <c r="AF477" s="39"/>
      <c r="AM477" s="40"/>
      <c r="AT477" s="40"/>
      <c r="BA477" s="41"/>
      <c r="BH477" s="42"/>
      <c r="BO477" s="42"/>
      <c r="BP477" s="43"/>
      <c r="CB477" s="44"/>
      <c r="CC477" s="39"/>
      <c r="CD477" s="39"/>
      <c r="CE477" s="39"/>
      <c r="CF477" s="40"/>
      <c r="CG477" s="40"/>
      <c r="CH477" s="41"/>
      <c r="CI477" s="45"/>
      <c r="CJ477" s="45"/>
      <c r="CK477" s="45"/>
      <c r="CL477" s="45"/>
    </row>
    <row r="478" ht="15.75" customHeight="1">
      <c r="K478" s="38"/>
      <c r="R478" s="39"/>
      <c r="Y478" s="39"/>
      <c r="AF478" s="39"/>
      <c r="AM478" s="40"/>
      <c r="AT478" s="40"/>
      <c r="BA478" s="41"/>
      <c r="BH478" s="42"/>
      <c r="BO478" s="42"/>
      <c r="BP478" s="43"/>
      <c r="CB478" s="44"/>
      <c r="CC478" s="39"/>
      <c r="CD478" s="39"/>
      <c r="CE478" s="39"/>
      <c r="CF478" s="40"/>
      <c r="CG478" s="40"/>
      <c r="CH478" s="41"/>
      <c r="CI478" s="45"/>
      <c r="CJ478" s="45"/>
      <c r="CK478" s="45"/>
      <c r="CL478" s="45"/>
    </row>
    <row r="479" ht="15.75" customHeight="1">
      <c r="K479" s="38"/>
      <c r="R479" s="39"/>
      <c r="Y479" s="39"/>
      <c r="AF479" s="39"/>
      <c r="AM479" s="40"/>
      <c r="AT479" s="40"/>
      <c r="BA479" s="41"/>
      <c r="BH479" s="42"/>
      <c r="BO479" s="42"/>
      <c r="BP479" s="43"/>
      <c r="CB479" s="44"/>
      <c r="CC479" s="39"/>
      <c r="CD479" s="39"/>
      <c r="CE479" s="39"/>
      <c r="CF479" s="40"/>
      <c r="CG479" s="40"/>
      <c r="CH479" s="41"/>
      <c r="CI479" s="45"/>
      <c r="CJ479" s="45"/>
      <c r="CK479" s="45"/>
      <c r="CL479" s="45"/>
    </row>
    <row r="480" ht="15.75" customHeight="1">
      <c r="K480" s="38"/>
      <c r="R480" s="39"/>
      <c r="Y480" s="39"/>
      <c r="AF480" s="39"/>
      <c r="AM480" s="40"/>
      <c r="AT480" s="40"/>
      <c r="BA480" s="41"/>
      <c r="BH480" s="42"/>
      <c r="BO480" s="42"/>
      <c r="BP480" s="43"/>
      <c r="CB480" s="44"/>
      <c r="CC480" s="39"/>
      <c r="CD480" s="39"/>
      <c r="CE480" s="39"/>
      <c r="CF480" s="40"/>
      <c r="CG480" s="40"/>
      <c r="CH480" s="41"/>
      <c r="CI480" s="45"/>
      <c r="CJ480" s="45"/>
      <c r="CK480" s="45"/>
      <c r="CL480" s="45"/>
    </row>
    <row r="481" ht="15.75" customHeight="1">
      <c r="K481" s="38"/>
      <c r="R481" s="39"/>
      <c r="Y481" s="39"/>
      <c r="AF481" s="39"/>
      <c r="AM481" s="40"/>
      <c r="AT481" s="40"/>
      <c r="BA481" s="41"/>
      <c r="BH481" s="42"/>
      <c r="BO481" s="42"/>
      <c r="BP481" s="43"/>
      <c r="CB481" s="44"/>
      <c r="CC481" s="39"/>
      <c r="CD481" s="39"/>
      <c r="CE481" s="39"/>
      <c r="CF481" s="40"/>
      <c r="CG481" s="40"/>
      <c r="CH481" s="41"/>
      <c r="CI481" s="45"/>
      <c r="CJ481" s="45"/>
      <c r="CK481" s="45"/>
      <c r="CL481" s="45"/>
    </row>
    <row r="482" ht="15.75" customHeight="1">
      <c r="K482" s="38"/>
      <c r="R482" s="39"/>
      <c r="Y482" s="39"/>
      <c r="AF482" s="39"/>
      <c r="AM482" s="40"/>
      <c r="AT482" s="40"/>
      <c r="BA482" s="41"/>
      <c r="BH482" s="42"/>
      <c r="BO482" s="42"/>
      <c r="BP482" s="43"/>
      <c r="CB482" s="44"/>
      <c r="CC482" s="39"/>
      <c r="CD482" s="39"/>
      <c r="CE482" s="39"/>
      <c r="CF482" s="40"/>
      <c r="CG482" s="40"/>
      <c r="CH482" s="41"/>
      <c r="CI482" s="45"/>
      <c r="CJ482" s="45"/>
      <c r="CK482" s="45"/>
      <c r="CL482" s="45"/>
    </row>
    <row r="483" ht="15.75" customHeight="1">
      <c r="K483" s="38"/>
      <c r="R483" s="39"/>
      <c r="Y483" s="39"/>
      <c r="AF483" s="39"/>
      <c r="AM483" s="40"/>
      <c r="AT483" s="40"/>
      <c r="BA483" s="41"/>
      <c r="BH483" s="42"/>
      <c r="BO483" s="42"/>
      <c r="BP483" s="43"/>
      <c r="CB483" s="44"/>
      <c r="CC483" s="39"/>
      <c r="CD483" s="39"/>
      <c r="CE483" s="39"/>
      <c r="CF483" s="40"/>
      <c r="CG483" s="40"/>
      <c r="CH483" s="41"/>
      <c r="CI483" s="45"/>
      <c r="CJ483" s="45"/>
      <c r="CK483" s="45"/>
      <c r="CL483" s="45"/>
    </row>
    <row r="484" ht="15.75" customHeight="1">
      <c r="K484" s="38"/>
      <c r="R484" s="39"/>
      <c r="Y484" s="39"/>
      <c r="AF484" s="39"/>
      <c r="AM484" s="40"/>
      <c r="AT484" s="40"/>
      <c r="BA484" s="41"/>
      <c r="BH484" s="42"/>
      <c r="BO484" s="42"/>
      <c r="BP484" s="43"/>
      <c r="CB484" s="44"/>
      <c r="CC484" s="39"/>
      <c r="CD484" s="39"/>
      <c r="CE484" s="39"/>
      <c r="CF484" s="40"/>
      <c r="CG484" s="40"/>
      <c r="CH484" s="41"/>
      <c r="CI484" s="45"/>
      <c r="CJ484" s="45"/>
      <c r="CK484" s="45"/>
      <c r="CL484" s="45"/>
    </row>
    <row r="485" ht="15.75" customHeight="1">
      <c r="K485" s="38"/>
      <c r="R485" s="39"/>
      <c r="Y485" s="39"/>
      <c r="AF485" s="39"/>
      <c r="AM485" s="40"/>
      <c r="AT485" s="40"/>
      <c r="BA485" s="41"/>
      <c r="BH485" s="42"/>
      <c r="BO485" s="42"/>
      <c r="BP485" s="43"/>
      <c r="CB485" s="44"/>
      <c r="CC485" s="39"/>
      <c r="CD485" s="39"/>
      <c r="CE485" s="39"/>
      <c r="CF485" s="40"/>
      <c r="CG485" s="40"/>
      <c r="CH485" s="41"/>
      <c r="CI485" s="45"/>
      <c r="CJ485" s="45"/>
      <c r="CK485" s="45"/>
      <c r="CL485" s="45"/>
    </row>
    <row r="486" ht="15.75" customHeight="1">
      <c r="K486" s="38"/>
      <c r="R486" s="39"/>
      <c r="Y486" s="39"/>
      <c r="AF486" s="39"/>
      <c r="AM486" s="40"/>
      <c r="AT486" s="40"/>
      <c r="BA486" s="41"/>
      <c r="BH486" s="42"/>
      <c r="BO486" s="42"/>
      <c r="BP486" s="43"/>
      <c r="CB486" s="44"/>
      <c r="CC486" s="39"/>
      <c r="CD486" s="39"/>
      <c r="CE486" s="39"/>
      <c r="CF486" s="40"/>
      <c r="CG486" s="40"/>
      <c r="CH486" s="41"/>
      <c r="CI486" s="45"/>
      <c r="CJ486" s="45"/>
      <c r="CK486" s="45"/>
      <c r="CL486" s="45"/>
    </row>
    <row r="487" ht="15.75" customHeight="1">
      <c r="K487" s="38"/>
      <c r="R487" s="39"/>
      <c r="Y487" s="39"/>
      <c r="AF487" s="39"/>
      <c r="AM487" s="40"/>
      <c r="AT487" s="40"/>
      <c r="BA487" s="41"/>
      <c r="BH487" s="42"/>
      <c r="BO487" s="42"/>
      <c r="BP487" s="43"/>
      <c r="CB487" s="44"/>
      <c r="CC487" s="39"/>
      <c r="CD487" s="39"/>
      <c r="CE487" s="39"/>
      <c r="CF487" s="40"/>
      <c r="CG487" s="40"/>
      <c r="CH487" s="41"/>
      <c r="CI487" s="45"/>
      <c r="CJ487" s="45"/>
      <c r="CK487" s="45"/>
      <c r="CL487" s="45"/>
    </row>
    <row r="488" ht="15.75" customHeight="1">
      <c r="K488" s="38"/>
      <c r="R488" s="39"/>
      <c r="Y488" s="39"/>
      <c r="AF488" s="39"/>
      <c r="AM488" s="40"/>
      <c r="AT488" s="40"/>
      <c r="BA488" s="41"/>
      <c r="BH488" s="42"/>
      <c r="BO488" s="42"/>
      <c r="BP488" s="43"/>
      <c r="CB488" s="44"/>
      <c r="CC488" s="39"/>
      <c r="CD488" s="39"/>
      <c r="CE488" s="39"/>
      <c r="CF488" s="40"/>
      <c r="CG488" s="40"/>
      <c r="CH488" s="41"/>
      <c r="CI488" s="45"/>
      <c r="CJ488" s="45"/>
      <c r="CK488" s="45"/>
      <c r="CL488" s="45"/>
    </row>
    <row r="489" ht="15.75" customHeight="1">
      <c r="K489" s="38"/>
      <c r="R489" s="39"/>
      <c r="Y489" s="39"/>
      <c r="AF489" s="39"/>
      <c r="AM489" s="40"/>
      <c r="AT489" s="40"/>
      <c r="BA489" s="41"/>
      <c r="BH489" s="42"/>
      <c r="BO489" s="42"/>
      <c r="BP489" s="43"/>
      <c r="CB489" s="44"/>
      <c r="CC489" s="39"/>
      <c r="CD489" s="39"/>
      <c r="CE489" s="39"/>
      <c r="CF489" s="40"/>
      <c r="CG489" s="40"/>
      <c r="CH489" s="41"/>
      <c r="CI489" s="45"/>
      <c r="CJ489" s="45"/>
      <c r="CK489" s="45"/>
      <c r="CL489" s="45"/>
    </row>
    <row r="490" ht="15.75" customHeight="1">
      <c r="K490" s="38"/>
      <c r="R490" s="39"/>
      <c r="Y490" s="39"/>
      <c r="AF490" s="39"/>
      <c r="AM490" s="40"/>
      <c r="AT490" s="40"/>
      <c r="BA490" s="41"/>
      <c r="BH490" s="42"/>
      <c r="BO490" s="42"/>
      <c r="BP490" s="43"/>
      <c r="CB490" s="44"/>
      <c r="CC490" s="39"/>
      <c r="CD490" s="39"/>
      <c r="CE490" s="39"/>
      <c r="CF490" s="40"/>
      <c r="CG490" s="40"/>
      <c r="CH490" s="41"/>
      <c r="CI490" s="45"/>
      <c r="CJ490" s="45"/>
      <c r="CK490" s="45"/>
      <c r="CL490" s="45"/>
    </row>
    <row r="491" ht="15.75" customHeight="1">
      <c r="K491" s="38"/>
      <c r="R491" s="39"/>
      <c r="Y491" s="39"/>
      <c r="AF491" s="39"/>
      <c r="AM491" s="40"/>
      <c r="AT491" s="40"/>
      <c r="BA491" s="41"/>
      <c r="BH491" s="42"/>
      <c r="BO491" s="42"/>
      <c r="BP491" s="43"/>
      <c r="CB491" s="44"/>
      <c r="CC491" s="39"/>
      <c r="CD491" s="39"/>
      <c r="CE491" s="39"/>
      <c r="CF491" s="40"/>
      <c r="CG491" s="40"/>
      <c r="CH491" s="41"/>
      <c r="CI491" s="45"/>
      <c r="CJ491" s="45"/>
      <c r="CK491" s="45"/>
      <c r="CL491" s="45"/>
    </row>
    <row r="492" ht="15.75" customHeight="1">
      <c r="K492" s="38"/>
      <c r="R492" s="39"/>
      <c r="Y492" s="39"/>
      <c r="AF492" s="39"/>
      <c r="AM492" s="40"/>
      <c r="AT492" s="40"/>
      <c r="BA492" s="41"/>
      <c r="BH492" s="42"/>
      <c r="BO492" s="42"/>
      <c r="BP492" s="43"/>
      <c r="CB492" s="44"/>
      <c r="CC492" s="39"/>
      <c r="CD492" s="39"/>
      <c r="CE492" s="39"/>
      <c r="CF492" s="40"/>
      <c r="CG492" s="40"/>
      <c r="CH492" s="41"/>
      <c r="CI492" s="45"/>
      <c r="CJ492" s="45"/>
      <c r="CK492" s="45"/>
      <c r="CL492" s="45"/>
    </row>
    <row r="493" ht="15.75" customHeight="1">
      <c r="K493" s="38"/>
      <c r="R493" s="39"/>
      <c r="Y493" s="39"/>
      <c r="AF493" s="39"/>
      <c r="AM493" s="40"/>
      <c r="AT493" s="40"/>
      <c r="BA493" s="41"/>
      <c r="BH493" s="42"/>
      <c r="BO493" s="42"/>
      <c r="BP493" s="43"/>
      <c r="CB493" s="44"/>
      <c r="CC493" s="39"/>
      <c r="CD493" s="39"/>
      <c r="CE493" s="39"/>
      <c r="CF493" s="40"/>
      <c r="CG493" s="40"/>
      <c r="CH493" s="41"/>
      <c r="CI493" s="45"/>
      <c r="CJ493" s="45"/>
      <c r="CK493" s="45"/>
      <c r="CL493" s="45"/>
    </row>
    <row r="494" ht="15.75" customHeight="1">
      <c r="K494" s="38"/>
      <c r="R494" s="39"/>
      <c r="Y494" s="39"/>
      <c r="AF494" s="39"/>
      <c r="AM494" s="40"/>
      <c r="AT494" s="40"/>
      <c r="BA494" s="41"/>
      <c r="BH494" s="42"/>
      <c r="BO494" s="42"/>
      <c r="BP494" s="43"/>
      <c r="CB494" s="44"/>
      <c r="CC494" s="39"/>
      <c r="CD494" s="39"/>
      <c r="CE494" s="39"/>
      <c r="CF494" s="40"/>
      <c r="CG494" s="40"/>
      <c r="CH494" s="41"/>
      <c r="CI494" s="45"/>
      <c r="CJ494" s="45"/>
      <c r="CK494" s="45"/>
      <c r="CL494" s="45"/>
    </row>
    <row r="495" ht="15.75" customHeight="1">
      <c r="K495" s="38"/>
      <c r="R495" s="39"/>
      <c r="Y495" s="39"/>
      <c r="AF495" s="39"/>
      <c r="AM495" s="40"/>
      <c r="AT495" s="40"/>
      <c r="BA495" s="41"/>
      <c r="BH495" s="42"/>
      <c r="BO495" s="42"/>
      <c r="BP495" s="43"/>
      <c r="CB495" s="44"/>
      <c r="CC495" s="39"/>
      <c r="CD495" s="39"/>
      <c r="CE495" s="39"/>
      <c r="CF495" s="40"/>
      <c r="CG495" s="40"/>
      <c r="CH495" s="41"/>
      <c r="CI495" s="45"/>
      <c r="CJ495" s="45"/>
      <c r="CK495" s="45"/>
      <c r="CL495" s="45"/>
    </row>
    <row r="496" ht="15.75" customHeight="1">
      <c r="K496" s="38"/>
      <c r="R496" s="39"/>
      <c r="Y496" s="39"/>
      <c r="AF496" s="39"/>
      <c r="AM496" s="40"/>
      <c r="AT496" s="40"/>
      <c r="BA496" s="41"/>
      <c r="BH496" s="42"/>
      <c r="BO496" s="42"/>
      <c r="BP496" s="43"/>
      <c r="CB496" s="44"/>
      <c r="CC496" s="39"/>
      <c r="CD496" s="39"/>
      <c r="CE496" s="39"/>
      <c r="CF496" s="40"/>
      <c r="CG496" s="40"/>
      <c r="CH496" s="41"/>
      <c r="CI496" s="45"/>
      <c r="CJ496" s="45"/>
      <c r="CK496" s="45"/>
      <c r="CL496" s="45"/>
    </row>
    <row r="497" ht="15.75" customHeight="1">
      <c r="K497" s="38"/>
      <c r="R497" s="39"/>
      <c r="Y497" s="39"/>
      <c r="AF497" s="39"/>
      <c r="AM497" s="40"/>
      <c r="AT497" s="40"/>
      <c r="BA497" s="41"/>
      <c r="BH497" s="42"/>
      <c r="BO497" s="42"/>
      <c r="BP497" s="43"/>
      <c r="CB497" s="44"/>
      <c r="CC497" s="39"/>
      <c r="CD497" s="39"/>
      <c r="CE497" s="39"/>
      <c r="CF497" s="40"/>
      <c r="CG497" s="40"/>
      <c r="CH497" s="41"/>
      <c r="CI497" s="45"/>
      <c r="CJ497" s="45"/>
      <c r="CK497" s="45"/>
      <c r="CL497" s="45"/>
    </row>
    <row r="498" ht="15.75" customHeight="1">
      <c r="K498" s="38"/>
      <c r="R498" s="39"/>
      <c r="Y498" s="39"/>
      <c r="AF498" s="39"/>
      <c r="AM498" s="40"/>
      <c r="AT498" s="40"/>
      <c r="BA498" s="41"/>
      <c r="BH498" s="42"/>
      <c r="BO498" s="42"/>
      <c r="BP498" s="43"/>
      <c r="CB498" s="44"/>
      <c r="CC498" s="39"/>
      <c r="CD498" s="39"/>
      <c r="CE498" s="39"/>
      <c r="CF498" s="40"/>
      <c r="CG498" s="40"/>
      <c r="CH498" s="41"/>
      <c r="CI498" s="45"/>
      <c r="CJ498" s="45"/>
      <c r="CK498" s="45"/>
      <c r="CL498" s="45"/>
    </row>
    <row r="499" ht="15.75" customHeight="1">
      <c r="K499" s="38"/>
      <c r="R499" s="39"/>
      <c r="Y499" s="39"/>
      <c r="AF499" s="39"/>
      <c r="AM499" s="40"/>
      <c r="AT499" s="40"/>
      <c r="BA499" s="41"/>
      <c r="BH499" s="42"/>
      <c r="BO499" s="42"/>
      <c r="BP499" s="43"/>
      <c r="CB499" s="44"/>
      <c r="CC499" s="39"/>
      <c r="CD499" s="39"/>
      <c r="CE499" s="39"/>
      <c r="CF499" s="40"/>
      <c r="CG499" s="40"/>
      <c r="CH499" s="41"/>
      <c r="CI499" s="45"/>
      <c r="CJ499" s="45"/>
      <c r="CK499" s="45"/>
      <c r="CL499" s="45"/>
    </row>
    <row r="500" ht="15.75" customHeight="1">
      <c r="K500" s="38"/>
      <c r="R500" s="39"/>
      <c r="Y500" s="39"/>
      <c r="AF500" s="39"/>
      <c r="AM500" s="40"/>
      <c r="AT500" s="40"/>
      <c r="BA500" s="41"/>
      <c r="BH500" s="42"/>
      <c r="BO500" s="42"/>
      <c r="BP500" s="43"/>
      <c r="CB500" s="44"/>
      <c r="CC500" s="39"/>
      <c r="CD500" s="39"/>
      <c r="CE500" s="39"/>
      <c r="CF500" s="40"/>
      <c r="CG500" s="40"/>
      <c r="CH500" s="41"/>
      <c r="CI500" s="45"/>
      <c r="CJ500" s="45"/>
      <c r="CK500" s="45"/>
      <c r="CL500" s="45"/>
    </row>
    <row r="501" ht="15.75" customHeight="1">
      <c r="K501" s="38"/>
      <c r="R501" s="39"/>
      <c r="Y501" s="39"/>
      <c r="AF501" s="39"/>
      <c r="AM501" s="40"/>
      <c r="AT501" s="40"/>
      <c r="BA501" s="41"/>
      <c r="BH501" s="42"/>
      <c r="BO501" s="42"/>
      <c r="BP501" s="43"/>
      <c r="CB501" s="44"/>
      <c r="CC501" s="39"/>
      <c r="CD501" s="39"/>
      <c r="CE501" s="39"/>
      <c r="CF501" s="40"/>
      <c r="CG501" s="40"/>
      <c r="CH501" s="41"/>
      <c r="CI501" s="45"/>
      <c r="CJ501" s="45"/>
      <c r="CK501" s="45"/>
      <c r="CL501" s="45"/>
    </row>
    <row r="502" ht="15.75" customHeight="1">
      <c r="K502" s="38"/>
      <c r="R502" s="39"/>
      <c r="Y502" s="39"/>
      <c r="AF502" s="39"/>
      <c r="AM502" s="40"/>
      <c r="AT502" s="40"/>
      <c r="BA502" s="41"/>
      <c r="BH502" s="42"/>
      <c r="BO502" s="42"/>
      <c r="BP502" s="43"/>
      <c r="CB502" s="44"/>
      <c r="CC502" s="39"/>
      <c r="CD502" s="39"/>
      <c r="CE502" s="39"/>
      <c r="CF502" s="40"/>
      <c r="CG502" s="40"/>
      <c r="CH502" s="41"/>
      <c r="CI502" s="45"/>
      <c r="CJ502" s="45"/>
      <c r="CK502" s="45"/>
      <c r="CL502" s="45"/>
    </row>
    <row r="503" ht="15.75" customHeight="1">
      <c r="K503" s="38"/>
      <c r="R503" s="39"/>
      <c r="Y503" s="39"/>
      <c r="AF503" s="39"/>
      <c r="AM503" s="40"/>
      <c r="AT503" s="40"/>
      <c r="BA503" s="41"/>
      <c r="BH503" s="42"/>
      <c r="BO503" s="42"/>
      <c r="BP503" s="43"/>
      <c r="CB503" s="44"/>
      <c r="CC503" s="39"/>
      <c r="CD503" s="39"/>
      <c r="CE503" s="39"/>
      <c r="CF503" s="40"/>
      <c r="CG503" s="40"/>
      <c r="CH503" s="41"/>
      <c r="CI503" s="45"/>
      <c r="CJ503" s="45"/>
      <c r="CK503" s="45"/>
      <c r="CL503" s="45"/>
    </row>
    <row r="504" ht="15.75" customHeight="1">
      <c r="K504" s="38"/>
      <c r="R504" s="39"/>
      <c r="Y504" s="39"/>
      <c r="AF504" s="39"/>
      <c r="AM504" s="40"/>
      <c r="AT504" s="40"/>
      <c r="BA504" s="41"/>
      <c r="BH504" s="42"/>
      <c r="BO504" s="42"/>
      <c r="BP504" s="43"/>
      <c r="CB504" s="44"/>
      <c r="CC504" s="39"/>
      <c r="CD504" s="39"/>
      <c r="CE504" s="39"/>
      <c r="CF504" s="40"/>
      <c r="CG504" s="40"/>
      <c r="CH504" s="41"/>
      <c r="CI504" s="45"/>
      <c r="CJ504" s="45"/>
      <c r="CK504" s="45"/>
      <c r="CL504" s="45"/>
    </row>
    <row r="505" ht="15.75" customHeight="1">
      <c r="K505" s="38"/>
      <c r="R505" s="39"/>
      <c r="Y505" s="39"/>
      <c r="AF505" s="39"/>
      <c r="AM505" s="40"/>
      <c r="AT505" s="40"/>
      <c r="BA505" s="41"/>
      <c r="BH505" s="42"/>
      <c r="BO505" s="42"/>
      <c r="BP505" s="43"/>
      <c r="CB505" s="44"/>
      <c r="CC505" s="39"/>
      <c r="CD505" s="39"/>
      <c r="CE505" s="39"/>
      <c r="CF505" s="40"/>
      <c r="CG505" s="40"/>
      <c r="CH505" s="41"/>
      <c r="CI505" s="45"/>
      <c r="CJ505" s="45"/>
      <c r="CK505" s="45"/>
      <c r="CL505" s="45"/>
    </row>
    <row r="506" ht="15.75" customHeight="1">
      <c r="K506" s="38"/>
      <c r="R506" s="39"/>
      <c r="Y506" s="39"/>
      <c r="AF506" s="39"/>
      <c r="AM506" s="40"/>
      <c r="AT506" s="40"/>
      <c r="BA506" s="41"/>
      <c r="BH506" s="42"/>
      <c r="BO506" s="42"/>
      <c r="BP506" s="43"/>
      <c r="CB506" s="44"/>
      <c r="CC506" s="39"/>
      <c r="CD506" s="39"/>
      <c r="CE506" s="39"/>
      <c r="CF506" s="40"/>
      <c r="CG506" s="40"/>
      <c r="CH506" s="41"/>
      <c r="CI506" s="45"/>
      <c r="CJ506" s="45"/>
      <c r="CK506" s="45"/>
      <c r="CL506" s="45"/>
    </row>
    <row r="507" ht="15.75" customHeight="1">
      <c r="K507" s="38"/>
      <c r="R507" s="39"/>
      <c r="Y507" s="39"/>
      <c r="AF507" s="39"/>
      <c r="AM507" s="40"/>
      <c r="AT507" s="40"/>
      <c r="BA507" s="41"/>
      <c r="BH507" s="42"/>
      <c r="BO507" s="42"/>
      <c r="BP507" s="43"/>
      <c r="CB507" s="44"/>
      <c r="CC507" s="39"/>
      <c r="CD507" s="39"/>
      <c r="CE507" s="39"/>
      <c r="CF507" s="40"/>
      <c r="CG507" s="40"/>
      <c r="CH507" s="41"/>
      <c r="CI507" s="45"/>
      <c r="CJ507" s="45"/>
      <c r="CK507" s="45"/>
      <c r="CL507" s="45"/>
    </row>
    <row r="508" ht="15.75" customHeight="1">
      <c r="K508" s="38"/>
      <c r="R508" s="39"/>
      <c r="Y508" s="39"/>
      <c r="AF508" s="39"/>
      <c r="AM508" s="40"/>
      <c r="AT508" s="40"/>
      <c r="BA508" s="41"/>
      <c r="BH508" s="42"/>
      <c r="BO508" s="42"/>
      <c r="BP508" s="43"/>
      <c r="CB508" s="44"/>
      <c r="CC508" s="39"/>
      <c r="CD508" s="39"/>
      <c r="CE508" s="39"/>
      <c r="CF508" s="40"/>
      <c r="CG508" s="40"/>
      <c r="CH508" s="41"/>
      <c r="CI508" s="45"/>
      <c r="CJ508" s="45"/>
      <c r="CK508" s="45"/>
      <c r="CL508" s="45"/>
    </row>
    <row r="509" ht="15.75" customHeight="1">
      <c r="K509" s="38"/>
      <c r="R509" s="39"/>
      <c r="Y509" s="39"/>
      <c r="AF509" s="39"/>
      <c r="AM509" s="40"/>
      <c r="AT509" s="40"/>
      <c r="BA509" s="41"/>
      <c r="BH509" s="42"/>
      <c r="BO509" s="42"/>
      <c r="BP509" s="43"/>
      <c r="CB509" s="44"/>
      <c r="CC509" s="39"/>
      <c r="CD509" s="39"/>
      <c r="CE509" s="39"/>
      <c r="CF509" s="40"/>
      <c r="CG509" s="40"/>
      <c r="CH509" s="41"/>
      <c r="CI509" s="45"/>
      <c r="CJ509" s="45"/>
      <c r="CK509" s="45"/>
      <c r="CL509" s="45"/>
    </row>
    <row r="510" ht="15.75" customHeight="1">
      <c r="K510" s="38"/>
      <c r="R510" s="39"/>
      <c r="Y510" s="39"/>
      <c r="AF510" s="39"/>
      <c r="AM510" s="40"/>
      <c r="AT510" s="40"/>
      <c r="BA510" s="41"/>
      <c r="BH510" s="42"/>
      <c r="BO510" s="42"/>
      <c r="BP510" s="43"/>
      <c r="CB510" s="44"/>
      <c r="CC510" s="39"/>
      <c r="CD510" s="39"/>
      <c r="CE510" s="39"/>
      <c r="CF510" s="40"/>
      <c r="CG510" s="40"/>
      <c r="CH510" s="41"/>
      <c r="CI510" s="45"/>
      <c r="CJ510" s="45"/>
      <c r="CK510" s="45"/>
      <c r="CL510" s="45"/>
    </row>
    <row r="511" ht="15.75" customHeight="1">
      <c r="K511" s="38"/>
      <c r="R511" s="39"/>
      <c r="Y511" s="39"/>
      <c r="AF511" s="39"/>
      <c r="AM511" s="40"/>
      <c r="AT511" s="40"/>
      <c r="BA511" s="41"/>
      <c r="BH511" s="42"/>
      <c r="BO511" s="42"/>
      <c r="BP511" s="43"/>
      <c r="CB511" s="44"/>
      <c r="CC511" s="39"/>
      <c r="CD511" s="39"/>
      <c r="CE511" s="39"/>
      <c r="CF511" s="40"/>
      <c r="CG511" s="40"/>
      <c r="CH511" s="41"/>
      <c r="CI511" s="45"/>
      <c r="CJ511" s="45"/>
      <c r="CK511" s="45"/>
      <c r="CL511" s="45"/>
    </row>
    <row r="512" ht="15.75" customHeight="1">
      <c r="K512" s="38"/>
      <c r="R512" s="39"/>
      <c r="Y512" s="39"/>
      <c r="AF512" s="39"/>
      <c r="AM512" s="40"/>
      <c r="AT512" s="40"/>
      <c r="BA512" s="41"/>
      <c r="BH512" s="42"/>
      <c r="BO512" s="42"/>
      <c r="BP512" s="43"/>
      <c r="CB512" s="44"/>
      <c r="CC512" s="39"/>
      <c r="CD512" s="39"/>
      <c r="CE512" s="39"/>
      <c r="CF512" s="40"/>
      <c r="CG512" s="40"/>
      <c r="CH512" s="41"/>
      <c r="CI512" s="45"/>
      <c r="CJ512" s="45"/>
      <c r="CK512" s="45"/>
      <c r="CL512" s="45"/>
    </row>
    <row r="513" ht="15.75" customHeight="1">
      <c r="K513" s="38"/>
      <c r="R513" s="39"/>
      <c r="Y513" s="39"/>
      <c r="AF513" s="39"/>
      <c r="AM513" s="40"/>
      <c r="AT513" s="40"/>
      <c r="BA513" s="41"/>
      <c r="BH513" s="42"/>
      <c r="BO513" s="42"/>
      <c r="BP513" s="43"/>
      <c r="CB513" s="44"/>
      <c r="CC513" s="39"/>
      <c r="CD513" s="39"/>
      <c r="CE513" s="39"/>
      <c r="CF513" s="40"/>
      <c r="CG513" s="40"/>
      <c r="CH513" s="41"/>
      <c r="CI513" s="45"/>
      <c r="CJ513" s="45"/>
      <c r="CK513" s="45"/>
      <c r="CL513" s="45"/>
    </row>
    <row r="514" ht="15.75" customHeight="1">
      <c r="K514" s="38"/>
      <c r="R514" s="39"/>
      <c r="Y514" s="39"/>
      <c r="AF514" s="39"/>
      <c r="AM514" s="40"/>
      <c r="AT514" s="40"/>
      <c r="BA514" s="41"/>
      <c r="BH514" s="42"/>
      <c r="BO514" s="42"/>
      <c r="BP514" s="43"/>
      <c r="CB514" s="44"/>
      <c r="CC514" s="39"/>
      <c r="CD514" s="39"/>
      <c r="CE514" s="39"/>
      <c r="CF514" s="40"/>
      <c r="CG514" s="40"/>
      <c r="CH514" s="41"/>
      <c r="CI514" s="45"/>
      <c r="CJ514" s="45"/>
      <c r="CK514" s="45"/>
      <c r="CL514" s="45"/>
    </row>
    <row r="515" ht="15.75" customHeight="1">
      <c r="K515" s="38"/>
      <c r="R515" s="39"/>
      <c r="Y515" s="39"/>
      <c r="AF515" s="39"/>
      <c r="AM515" s="40"/>
      <c r="AT515" s="40"/>
      <c r="BA515" s="41"/>
      <c r="BH515" s="42"/>
      <c r="BO515" s="42"/>
      <c r="BP515" s="43"/>
      <c r="CB515" s="44"/>
      <c r="CC515" s="39"/>
      <c r="CD515" s="39"/>
      <c r="CE515" s="39"/>
      <c r="CF515" s="40"/>
      <c r="CG515" s="40"/>
      <c r="CH515" s="41"/>
      <c r="CI515" s="45"/>
      <c r="CJ515" s="45"/>
      <c r="CK515" s="45"/>
      <c r="CL515" s="45"/>
    </row>
    <row r="516" ht="15.75" customHeight="1">
      <c r="K516" s="38"/>
      <c r="R516" s="39"/>
      <c r="Y516" s="39"/>
      <c r="AF516" s="39"/>
      <c r="AM516" s="40"/>
      <c r="AT516" s="40"/>
      <c r="BA516" s="41"/>
      <c r="BH516" s="42"/>
      <c r="BO516" s="42"/>
      <c r="BP516" s="43"/>
      <c r="CB516" s="44"/>
      <c r="CC516" s="39"/>
      <c r="CD516" s="39"/>
      <c r="CE516" s="39"/>
      <c r="CF516" s="40"/>
      <c r="CG516" s="40"/>
      <c r="CH516" s="41"/>
      <c r="CI516" s="45"/>
      <c r="CJ516" s="45"/>
      <c r="CK516" s="45"/>
      <c r="CL516" s="45"/>
    </row>
    <row r="517" ht="15.75" customHeight="1">
      <c r="K517" s="38"/>
      <c r="R517" s="39"/>
      <c r="Y517" s="39"/>
      <c r="AF517" s="39"/>
      <c r="AM517" s="40"/>
      <c r="AT517" s="40"/>
      <c r="BA517" s="41"/>
      <c r="BH517" s="42"/>
      <c r="BO517" s="42"/>
      <c r="BP517" s="43"/>
      <c r="CB517" s="44"/>
      <c r="CC517" s="39"/>
      <c r="CD517" s="39"/>
      <c r="CE517" s="39"/>
      <c r="CF517" s="40"/>
      <c r="CG517" s="40"/>
      <c r="CH517" s="41"/>
      <c r="CI517" s="45"/>
      <c r="CJ517" s="45"/>
      <c r="CK517" s="45"/>
      <c r="CL517" s="45"/>
    </row>
    <row r="518" ht="15.75" customHeight="1">
      <c r="K518" s="38"/>
      <c r="R518" s="39"/>
      <c r="Y518" s="39"/>
      <c r="AF518" s="39"/>
      <c r="AM518" s="40"/>
      <c r="AT518" s="40"/>
      <c r="BA518" s="41"/>
      <c r="BH518" s="42"/>
      <c r="BO518" s="42"/>
      <c r="BP518" s="43"/>
      <c r="CB518" s="44"/>
      <c r="CC518" s="39"/>
      <c r="CD518" s="39"/>
      <c r="CE518" s="39"/>
      <c r="CF518" s="40"/>
      <c r="CG518" s="40"/>
      <c r="CH518" s="41"/>
      <c r="CI518" s="45"/>
      <c r="CJ518" s="45"/>
      <c r="CK518" s="45"/>
      <c r="CL518" s="45"/>
    </row>
    <row r="519" ht="15.75" customHeight="1">
      <c r="K519" s="38"/>
      <c r="R519" s="39"/>
      <c r="Y519" s="39"/>
      <c r="AF519" s="39"/>
      <c r="AM519" s="40"/>
      <c r="AT519" s="40"/>
      <c r="BA519" s="41"/>
      <c r="BH519" s="42"/>
      <c r="BO519" s="42"/>
      <c r="BP519" s="43"/>
      <c r="CB519" s="44"/>
      <c r="CC519" s="39"/>
      <c r="CD519" s="39"/>
      <c r="CE519" s="39"/>
      <c r="CF519" s="40"/>
      <c r="CG519" s="40"/>
      <c r="CH519" s="41"/>
      <c r="CI519" s="45"/>
      <c r="CJ519" s="45"/>
      <c r="CK519" s="45"/>
      <c r="CL519" s="45"/>
    </row>
    <row r="520" ht="15.75" customHeight="1">
      <c r="K520" s="38"/>
      <c r="R520" s="39"/>
      <c r="Y520" s="39"/>
      <c r="AF520" s="39"/>
      <c r="AM520" s="40"/>
      <c r="AT520" s="40"/>
      <c r="BA520" s="41"/>
      <c r="BH520" s="42"/>
      <c r="BO520" s="42"/>
      <c r="BP520" s="43"/>
      <c r="CB520" s="44"/>
      <c r="CC520" s="39"/>
      <c r="CD520" s="39"/>
      <c r="CE520" s="39"/>
      <c r="CF520" s="40"/>
      <c r="CG520" s="40"/>
      <c r="CH520" s="41"/>
      <c r="CI520" s="45"/>
      <c r="CJ520" s="45"/>
      <c r="CK520" s="45"/>
      <c r="CL520" s="45"/>
    </row>
    <row r="521" ht="15.75" customHeight="1">
      <c r="K521" s="38"/>
      <c r="R521" s="39"/>
      <c r="Y521" s="39"/>
      <c r="AF521" s="39"/>
      <c r="AM521" s="40"/>
      <c r="AT521" s="40"/>
      <c r="BA521" s="41"/>
      <c r="BH521" s="42"/>
      <c r="BO521" s="42"/>
      <c r="BP521" s="43"/>
      <c r="CB521" s="44"/>
      <c r="CC521" s="39"/>
      <c r="CD521" s="39"/>
      <c r="CE521" s="39"/>
      <c r="CF521" s="40"/>
      <c r="CG521" s="40"/>
      <c r="CH521" s="41"/>
      <c r="CI521" s="45"/>
      <c r="CJ521" s="45"/>
      <c r="CK521" s="45"/>
      <c r="CL521" s="45"/>
    </row>
    <row r="522" ht="15.75" customHeight="1">
      <c r="K522" s="38"/>
      <c r="R522" s="39"/>
      <c r="Y522" s="39"/>
      <c r="AF522" s="39"/>
      <c r="AM522" s="40"/>
      <c r="AT522" s="40"/>
      <c r="BA522" s="41"/>
      <c r="BH522" s="42"/>
      <c r="BO522" s="42"/>
      <c r="BP522" s="43"/>
      <c r="CB522" s="44"/>
      <c r="CC522" s="39"/>
      <c r="CD522" s="39"/>
      <c r="CE522" s="39"/>
      <c r="CF522" s="40"/>
      <c r="CG522" s="40"/>
      <c r="CH522" s="41"/>
      <c r="CI522" s="45"/>
      <c r="CJ522" s="45"/>
      <c r="CK522" s="45"/>
      <c r="CL522" s="45"/>
    </row>
    <row r="523" ht="15.75" customHeight="1">
      <c r="K523" s="38"/>
      <c r="R523" s="39"/>
      <c r="Y523" s="39"/>
      <c r="AF523" s="39"/>
      <c r="AM523" s="40"/>
      <c r="AT523" s="40"/>
      <c r="BA523" s="41"/>
      <c r="BH523" s="42"/>
      <c r="BO523" s="42"/>
      <c r="BP523" s="43"/>
      <c r="CB523" s="44"/>
      <c r="CC523" s="39"/>
      <c r="CD523" s="39"/>
      <c r="CE523" s="39"/>
      <c r="CF523" s="40"/>
      <c r="CG523" s="40"/>
      <c r="CH523" s="41"/>
      <c r="CI523" s="45"/>
      <c r="CJ523" s="45"/>
      <c r="CK523" s="45"/>
      <c r="CL523" s="45"/>
    </row>
    <row r="524" ht="15.75" customHeight="1">
      <c r="K524" s="38"/>
      <c r="R524" s="39"/>
      <c r="Y524" s="39"/>
      <c r="AF524" s="39"/>
      <c r="AM524" s="40"/>
      <c r="AT524" s="40"/>
      <c r="BA524" s="41"/>
      <c r="BH524" s="42"/>
      <c r="BO524" s="42"/>
      <c r="BP524" s="43"/>
      <c r="CB524" s="44"/>
      <c r="CC524" s="39"/>
      <c r="CD524" s="39"/>
      <c r="CE524" s="39"/>
      <c r="CF524" s="40"/>
      <c r="CG524" s="40"/>
      <c r="CH524" s="41"/>
      <c r="CI524" s="45"/>
      <c r="CJ524" s="45"/>
      <c r="CK524" s="45"/>
      <c r="CL524" s="45"/>
    </row>
    <row r="525" ht="15.75" customHeight="1">
      <c r="K525" s="38"/>
      <c r="R525" s="39"/>
      <c r="Y525" s="39"/>
      <c r="AF525" s="39"/>
      <c r="AM525" s="40"/>
      <c r="AT525" s="40"/>
      <c r="BA525" s="41"/>
      <c r="BH525" s="42"/>
      <c r="BO525" s="42"/>
      <c r="BP525" s="43"/>
      <c r="CB525" s="44"/>
      <c r="CC525" s="39"/>
      <c r="CD525" s="39"/>
      <c r="CE525" s="39"/>
      <c r="CF525" s="40"/>
      <c r="CG525" s="40"/>
      <c r="CH525" s="41"/>
      <c r="CI525" s="45"/>
      <c r="CJ525" s="45"/>
      <c r="CK525" s="45"/>
      <c r="CL525" s="45"/>
    </row>
    <row r="526" ht="15.75" customHeight="1">
      <c r="K526" s="38"/>
      <c r="R526" s="39"/>
      <c r="Y526" s="39"/>
      <c r="AF526" s="39"/>
      <c r="AM526" s="40"/>
      <c r="AT526" s="40"/>
      <c r="BA526" s="41"/>
      <c r="BH526" s="42"/>
      <c r="BO526" s="42"/>
      <c r="BP526" s="43"/>
      <c r="CB526" s="44"/>
      <c r="CC526" s="39"/>
      <c r="CD526" s="39"/>
      <c r="CE526" s="39"/>
      <c r="CF526" s="40"/>
      <c r="CG526" s="40"/>
      <c r="CH526" s="41"/>
      <c r="CI526" s="45"/>
      <c r="CJ526" s="45"/>
      <c r="CK526" s="45"/>
      <c r="CL526" s="45"/>
    </row>
    <row r="527" ht="15.75" customHeight="1">
      <c r="K527" s="38"/>
      <c r="R527" s="39"/>
      <c r="Y527" s="39"/>
      <c r="AF527" s="39"/>
      <c r="AM527" s="40"/>
      <c r="AT527" s="40"/>
      <c r="BA527" s="41"/>
      <c r="BH527" s="42"/>
      <c r="BO527" s="42"/>
      <c r="BP527" s="43"/>
      <c r="CB527" s="44"/>
      <c r="CC527" s="39"/>
      <c r="CD527" s="39"/>
      <c r="CE527" s="39"/>
      <c r="CF527" s="40"/>
      <c r="CG527" s="40"/>
      <c r="CH527" s="41"/>
      <c r="CI527" s="45"/>
      <c r="CJ527" s="45"/>
      <c r="CK527" s="45"/>
      <c r="CL527" s="45"/>
    </row>
    <row r="528" ht="15.75" customHeight="1">
      <c r="K528" s="38"/>
      <c r="R528" s="39"/>
      <c r="Y528" s="39"/>
      <c r="AF528" s="39"/>
      <c r="AM528" s="40"/>
      <c r="AT528" s="40"/>
      <c r="BA528" s="41"/>
      <c r="BH528" s="42"/>
      <c r="BO528" s="42"/>
      <c r="BP528" s="43"/>
      <c r="CB528" s="44"/>
      <c r="CC528" s="39"/>
      <c r="CD528" s="39"/>
      <c r="CE528" s="39"/>
      <c r="CF528" s="40"/>
      <c r="CG528" s="40"/>
      <c r="CH528" s="41"/>
      <c r="CI528" s="45"/>
      <c r="CJ528" s="45"/>
      <c r="CK528" s="45"/>
      <c r="CL528" s="45"/>
    </row>
    <row r="529" ht="15.75" customHeight="1">
      <c r="K529" s="38"/>
      <c r="R529" s="39"/>
      <c r="Y529" s="39"/>
      <c r="AF529" s="39"/>
      <c r="AM529" s="40"/>
      <c r="AT529" s="40"/>
      <c r="BA529" s="41"/>
      <c r="BH529" s="42"/>
      <c r="BO529" s="42"/>
      <c r="BP529" s="43"/>
      <c r="CB529" s="44"/>
      <c r="CC529" s="39"/>
      <c r="CD529" s="39"/>
      <c r="CE529" s="39"/>
      <c r="CF529" s="40"/>
      <c r="CG529" s="40"/>
      <c r="CH529" s="41"/>
      <c r="CI529" s="45"/>
      <c r="CJ529" s="45"/>
      <c r="CK529" s="45"/>
      <c r="CL529" s="45"/>
    </row>
    <row r="530" ht="15.75" customHeight="1">
      <c r="K530" s="38"/>
      <c r="R530" s="39"/>
      <c r="Y530" s="39"/>
      <c r="AF530" s="39"/>
      <c r="AM530" s="40"/>
      <c r="AT530" s="40"/>
      <c r="BA530" s="41"/>
      <c r="BH530" s="42"/>
      <c r="BO530" s="42"/>
      <c r="BP530" s="43"/>
      <c r="CB530" s="44"/>
      <c r="CC530" s="39"/>
      <c r="CD530" s="39"/>
      <c r="CE530" s="39"/>
      <c r="CF530" s="40"/>
      <c r="CG530" s="40"/>
      <c r="CH530" s="41"/>
      <c r="CI530" s="45"/>
      <c r="CJ530" s="45"/>
      <c r="CK530" s="45"/>
      <c r="CL530" s="45"/>
    </row>
    <row r="531" ht="15.75" customHeight="1">
      <c r="K531" s="38"/>
      <c r="R531" s="39"/>
      <c r="Y531" s="39"/>
      <c r="AF531" s="39"/>
      <c r="AM531" s="40"/>
      <c r="AT531" s="40"/>
      <c r="BA531" s="41"/>
      <c r="BH531" s="42"/>
      <c r="BO531" s="42"/>
      <c r="BP531" s="43"/>
      <c r="CB531" s="44"/>
      <c r="CC531" s="39"/>
      <c r="CD531" s="39"/>
      <c r="CE531" s="39"/>
      <c r="CF531" s="40"/>
      <c r="CG531" s="40"/>
      <c r="CH531" s="41"/>
      <c r="CI531" s="45"/>
      <c r="CJ531" s="45"/>
      <c r="CK531" s="45"/>
      <c r="CL531" s="45"/>
    </row>
    <row r="532" ht="15.75" customHeight="1">
      <c r="K532" s="38"/>
      <c r="R532" s="39"/>
      <c r="Y532" s="39"/>
      <c r="AF532" s="39"/>
      <c r="AM532" s="40"/>
      <c r="AT532" s="40"/>
      <c r="BA532" s="41"/>
      <c r="BH532" s="42"/>
      <c r="BO532" s="42"/>
      <c r="BP532" s="43"/>
      <c r="CB532" s="44"/>
      <c r="CC532" s="39"/>
      <c r="CD532" s="39"/>
      <c r="CE532" s="39"/>
      <c r="CF532" s="40"/>
      <c r="CG532" s="40"/>
      <c r="CH532" s="41"/>
      <c r="CI532" s="45"/>
      <c r="CJ532" s="45"/>
      <c r="CK532" s="45"/>
      <c r="CL532" s="45"/>
    </row>
    <row r="533" ht="15.75" customHeight="1">
      <c r="K533" s="38"/>
      <c r="R533" s="39"/>
      <c r="Y533" s="39"/>
      <c r="AF533" s="39"/>
      <c r="AM533" s="40"/>
      <c r="AT533" s="40"/>
      <c r="BA533" s="41"/>
      <c r="BH533" s="42"/>
      <c r="BO533" s="42"/>
      <c r="BP533" s="43"/>
      <c r="CB533" s="44"/>
      <c r="CC533" s="39"/>
      <c r="CD533" s="39"/>
      <c r="CE533" s="39"/>
      <c r="CF533" s="40"/>
      <c r="CG533" s="40"/>
      <c r="CH533" s="41"/>
      <c r="CI533" s="45"/>
      <c r="CJ533" s="45"/>
      <c r="CK533" s="45"/>
      <c r="CL533" s="45"/>
    </row>
    <row r="534" ht="15.75" customHeight="1">
      <c r="K534" s="38"/>
      <c r="R534" s="39"/>
      <c r="Y534" s="39"/>
      <c r="AF534" s="39"/>
      <c r="AM534" s="40"/>
      <c r="AT534" s="40"/>
      <c r="BA534" s="41"/>
      <c r="BH534" s="42"/>
      <c r="BO534" s="42"/>
      <c r="BP534" s="43"/>
      <c r="CB534" s="44"/>
      <c r="CC534" s="39"/>
      <c r="CD534" s="39"/>
      <c r="CE534" s="39"/>
      <c r="CF534" s="40"/>
      <c r="CG534" s="40"/>
      <c r="CH534" s="41"/>
      <c r="CI534" s="45"/>
      <c r="CJ534" s="45"/>
      <c r="CK534" s="45"/>
      <c r="CL534" s="45"/>
    </row>
    <row r="535" ht="15.75" customHeight="1">
      <c r="K535" s="38"/>
      <c r="R535" s="39"/>
      <c r="Y535" s="39"/>
      <c r="AF535" s="39"/>
      <c r="AM535" s="40"/>
      <c r="AT535" s="40"/>
      <c r="BA535" s="41"/>
      <c r="BH535" s="42"/>
      <c r="BO535" s="42"/>
      <c r="BP535" s="43"/>
      <c r="CB535" s="44"/>
      <c r="CC535" s="39"/>
      <c r="CD535" s="39"/>
      <c r="CE535" s="39"/>
      <c r="CF535" s="40"/>
      <c r="CG535" s="40"/>
      <c r="CH535" s="41"/>
      <c r="CI535" s="45"/>
      <c r="CJ535" s="45"/>
      <c r="CK535" s="45"/>
      <c r="CL535" s="45"/>
    </row>
    <row r="536" ht="15.75" customHeight="1">
      <c r="K536" s="38"/>
      <c r="R536" s="39"/>
      <c r="Y536" s="39"/>
      <c r="AF536" s="39"/>
      <c r="AM536" s="40"/>
      <c r="AT536" s="40"/>
      <c r="BA536" s="41"/>
      <c r="BH536" s="42"/>
      <c r="BO536" s="42"/>
      <c r="BP536" s="43"/>
      <c r="CB536" s="44"/>
      <c r="CC536" s="39"/>
      <c r="CD536" s="39"/>
      <c r="CE536" s="39"/>
      <c r="CF536" s="40"/>
      <c r="CG536" s="40"/>
      <c r="CH536" s="41"/>
      <c r="CI536" s="45"/>
      <c r="CJ536" s="45"/>
      <c r="CK536" s="45"/>
      <c r="CL536" s="45"/>
    </row>
    <row r="537" ht="15.75" customHeight="1">
      <c r="K537" s="38"/>
      <c r="R537" s="39"/>
      <c r="Y537" s="39"/>
      <c r="AF537" s="39"/>
      <c r="AM537" s="40"/>
      <c r="AT537" s="40"/>
      <c r="BA537" s="41"/>
      <c r="BH537" s="42"/>
      <c r="BO537" s="42"/>
      <c r="BP537" s="43"/>
      <c r="CB537" s="44"/>
      <c r="CC537" s="39"/>
      <c r="CD537" s="39"/>
      <c r="CE537" s="39"/>
      <c r="CF537" s="40"/>
      <c r="CG537" s="40"/>
      <c r="CH537" s="41"/>
      <c r="CI537" s="45"/>
      <c r="CJ537" s="45"/>
      <c r="CK537" s="45"/>
      <c r="CL537" s="45"/>
    </row>
    <row r="538" ht="15.75" customHeight="1">
      <c r="K538" s="38"/>
      <c r="R538" s="39"/>
      <c r="Y538" s="39"/>
      <c r="AF538" s="39"/>
      <c r="AM538" s="40"/>
      <c r="AT538" s="40"/>
      <c r="BA538" s="41"/>
      <c r="BH538" s="42"/>
      <c r="BO538" s="42"/>
      <c r="BP538" s="43"/>
      <c r="CB538" s="44"/>
      <c r="CC538" s="39"/>
      <c r="CD538" s="39"/>
      <c r="CE538" s="39"/>
      <c r="CF538" s="40"/>
      <c r="CG538" s="40"/>
      <c r="CH538" s="41"/>
      <c r="CI538" s="45"/>
      <c r="CJ538" s="45"/>
      <c r="CK538" s="45"/>
      <c r="CL538" s="45"/>
    </row>
    <row r="539" ht="15.75" customHeight="1">
      <c r="K539" s="38"/>
      <c r="R539" s="39"/>
      <c r="Y539" s="39"/>
      <c r="AF539" s="39"/>
      <c r="AM539" s="40"/>
      <c r="AT539" s="40"/>
      <c r="BA539" s="41"/>
      <c r="BH539" s="42"/>
      <c r="BO539" s="42"/>
      <c r="BP539" s="43"/>
      <c r="CB539" s="44"/>
      <c r="CC539" s="39"/>
      <c r="CD539" s="39"/>
      <c r="CE539" s="39"/>
      <c r="CF539" s="40"/>
      <c r="CG539" s="40"/>
      <c r="CH539" s="41"/>
      <c r="CI539" s="45"/>
      <c r="CJ539" s="45"/>
      <c r="CK539" s="45"/>
      <c r="CL539" s="45"/>
    </row>
    <row r="540" ht="15.75" customHeight="1">
      <c r="K540" s="38"/>
      <c r="R540" s="39"/>
      <c r="Y540" s="39"/>
      <c r="AF540" s="39"/>
      <c r="AM540" s="40"/>
      <c r="AT540" s="40"/>
      <c r="BA540" s="41"/>
      <c r="BH540" s="42"/>
      <c r="BO540" s="42"/>
      <c r="BP540" s="43"/>
      <c r="CB540" s="44"/>
      <c r="CC540" s="39"/>
      <c r="CD540" s="39"/>
      <c r="CE540" s="39"/>
      <c r="CF540" s="40"/>
      <c r="CG540" s="40"/>
      <c r="CH540" s="41"/>
      <c r="CI540" s="45"/>
      <c r="CJ540" s="45"/>
      <c r="CK540" s="45"/>
      <c r="CL540" s="45"/>
    </row>
    <row r="541" ht="15.75" customHeight="1">
      <c r="K541" s="38"/>
      <c r="R541" s="39"/>
      <c r="Y541" s="39"/>
      <c r="AF541" s="39"/>
      <c r="AM541" s="40"/>
      <c r="AT541" s="40"/>
      <c r="BA541" s="41"/>
      <c r="BH541" s="42"/>
      <c r="BO541" s="42"/>
      <c r="BP541" s="43"/>
      <c r="CB541" s="44"/>
      <c r="CC541" s="39"/>
      <c r="CD541" s="39"/>
      <c r="CE541" s="39"/>
      <c r="CF541" s="40"/>
      <c r="CG541" s="40"/>
      <c r="CH541" s="41"/>
      <c r="CI541" s="45"/>
      <c r="CJ541" s="45"/>
      <c r="CK541" s="45"/>
      <c r="CL541" s="45"/>
    </row>
    <row r="542" ht="15.75" customHeight="1">
      <c r="K542" s="38"/>
      <c r="R542" s="39"/>
      <c r="Y542" s="39"/>
      <c r="AF542" s="39"/>
      <c r="AM542" s="40"/>
      <c r="AT542" s="40"/>
      <c r="BA542" s="41"/>
      <c r="BH542" s="42"/>
      <c r="BO542" s="42"/>
      <c r="BP542" s="43"/>
      <c r="CB542" s="44"/>
      <c r="CC542" s="39"/>
      <c r="CD542" s="39"/>
      <c r="CE542" s="39"/>
      <c r="CF542" s="40"/>
      <c r="CG542" s="40"/>
      <c r="CH542" s="41"/>
      <c r="CI542" s="45"/>
      <c r="CJ542" s="45"/>
      <c r="CK542" s="45"/>
      <c r="CL542" s="45"/>
    </row>
    <row r="543" ht="15.75" customHeight="1">
      <c r="K543" s="38"/>
      <c r="R543" s="39"/>
      <c r="Y543" s="39"/>
      <c r="AF543" s="39"/>
      <c r="AM543" s="40"/>
      <c r="AT543" s="40"/>
      <c r="BA543" s="41"/>
      <c r="BH543" s="42"/>
      <c r="BO543" s="42"/>
      <c r="BP543" s="43"/>
      <c r="CB543" s="44"/>
      <c r="CC543" s="39"/>
      <c r="CD543" s="39"/>
      <c r="CE543" s="39"/>
      <c r="CF543" s="40"/>
      <c r="CG543" s="40"/>
      <c r="CH543" s="41"/>
      <c r="CI543" s="45"/>
      <c r="CJ543" s="45"/>
      <c r="CK543" s="45"/>
      <c r="CL543" s="45"/>
    </row>
    <row r="544" ht="15.75" customHeight="1">
      <c r="K544" s="38"/>
      <c r="R544" s="39"/>
      <c r="Y544" s="39"/>
      <c r="AF544" s="39"/>
      <c r="AM544" s="40"/>
      <c r="AT544" s="40"/>
      <c r="BA544" s="41"/>
      <c r="BH544" s="42"/>
      <c r="BO544" s="42"/>
      <c r="BP544" s="43"/>
      <c r="CB544" s="44"/>
      <c r="CC544" s="39"/>
      <c r="CD544" s="39"/>
      <c r="CE544" s="39"/>
      <c r="CF544" s="40"/>
      <c r="CG544" s="40"/>
      <c r="CH544" s="41"/>
      <c r="CI544" s="45"/>
      <c r="CJ544" s="45"/>
      <c r="CK544" s="45"/>
      <c r="CL544" s="45"/>
    </row>
    <row r="545" ht="15.75" customHeight="1">
      <c r="K545" s="38"/>
      <c r="R545" s="39"/>
      <c r="Y545" s="39"/>
      <c r="AF545" s="39"/>
      <c r="AM545" s="40"/>
      <c r="AT545" s="40"/>
      <c r="BA545" s="41"/>
      <c r="BH545" s="42"/>
      <c r="BO545" s="42"/>
      <c r="BP545" s="43"/>
      <c r="CB545" s="44"/>
      <c r="CC545" s="39"/>
      <c r="CD545" s="39"/>
      <c r="CE545" s="39"/>
      <c r="CF545" s="40"/>
      <c r="CG545" s="40"/>
      <c r="CH545" s="41"/>
      <c r="CI545" s="45"/>
      <c r="CJ545" s="45"/>
      <c r="CK545" s="45"/>
      <c r="CL545" s="45"/>
    </row>
    <row r="546" ht="15.75" customHeight="1">
      <c r="K546" s="38"/>
      <c r="R546" s="39"/>
      <c r="Y546" s="39"/>
      <c r="AF546" s="39"/>
      <c r="AM546" s="40"/>
      <c r="AT546" s="40"/>
      <c r="BA546" s="41"/>
      <c r="BH546" s="42"/>
      <c r="BO546" s="42"/>
      <c r="BP546" s="43"/>
      <c r="CB546" s="44"/>
      <c r="CC546" s="39"/>
      <c r="CD546" s="39"/>
      <c r="CE546" s="39"/>
      <c r="CF546" s="40"/>
      <c r="CG546" s="40"/>
      <c r="CH546" s="41"/>
      <c r="CI546" s="45"/>
      <c r="CJ546" s="45"/>
      <c r="CK546" s="45"/>
      <c r="CL546" s="45"/>
    </row>
    <row r="547" ht="15.75" customHeight="1">
      <c r="K547" s="38"/>
      <c r="R547" s="39"/>
      <c r="Y547" s="39"/>
      <c r="AF547" s="39"/>
      <c r="AM547" s="40"/>
      <c r="AT547" s="40"/>
      <c r="BA547" s="41"/>
      <c r="BH547" s="42"/>
      <c r="BO547" s="42"/>
      <c r="BP547" s="43"/>
      <c r="CB547" s="44"/>
      <c r="CC547" s="39"/>
      <c r="CD547" s="39"/>
      <c r="CE547" s="39"/>
      <c r="CF547" s="40"/>
      <c r="CG547" s="40"/>
      <c r="CH547" s="41"/>
      <c r="CI547" s="45"/>
      <c r="CJ547" s="45"/>
      <c r="CK547" s="45"/>
      <c r="CL547" s="45"/>
    </row>
    <row r="548" ht="15.75" customHeight="1">
      <c r="K548" s="38"/>
      <c r="R548" s="39"/>
      <c r="Y548" s="39"/>
      <c r="AF548" s="39"/>
      <c r="AM548" s="40"/>
      <c r="AT548" s="40"/>
      <c r="BA548" s="41"/>
      <c r="BH548" s="42"/>
      <c r="BO548" s="42"/>
      <c r="BP548" s="43"/>
      <c r="CB548" s="44"/>
      <c r="CC548" s="39"/>
      <c r="CD548" s="39"/>
      <c r="CE548" s="39"/>
      <c r="CF548" s="40"/>
      <c r="CG548" s="40"/>
      <c r="CH548" s="41"/>
      <c r="CI548" s="45"/>
      <c r="CJ548" s="45"/>
      <c r="CK548" s="45"/>
      <c r="CL548" s="45"/>
    </row>
    <row r="549" ht="15.75" customHeight="1">
      <c r="K549" s="38"/>
      <c r="R549" s="39"/>
      <c r="Y549" s="39"/>
      <c r="AF549" s="39"/>
      <c r="AM549" s="40"/>
      <c r="AT549" s="40"/>
      <c r="BA549" s="41"/>
      <c r="BH549" s="42"/>
      <c r="BO549" s="42"/>
      <c r="BP549" s="43"/>
      <c r="CB549" s="44"/>
      <c r="CC549" s="39"/>
      <c r="CD549" s="39"/>
      <c r="CE549" s="39"/>
      <c r="CF549" s="40"/>
      <c r="CG549" s="40"/>
      <c r="CH549" s="41"/>
      <c r="CI549" s="45"/>
      <c r="CJ549" s="45"/>
      <c r="CK549" s="45"/>
      <c r="CL549" s="45"/>
    </row>
    <row r="550" ht="15.75" customHeight="1">
      <c r="K550" s="38"/>
      <c r="R550" s="39"/>
      <c r="Y550" s="39"/>
      <c r="AF550" s="39"/>
      <c r="AM550" s="40"/>
      <c r="AT550" s="40"/>
      <c r="BA550" s="41"/>
      <c r="BH550" s="42"/>
      <c r="BO550" s="42"/>
      <c r="BP550" s="43"/>
      <c r="CB550" s="44"/>
      <c r="CC550" s="39"/>
      <c r="CD550" s="39"/>
      <c r="CE550" s="39"/>
      <c r="CF550" s="40"/>
      <c r="CG550" s="40"/>
      <c r="CH550" s="41"/>
      <c r="CI550" s="45"/>
      <c r="CJ550" s="45"/>
      <c r="CK550" s="45"/>
      <c r="CL550" s="45"/>
    </row>
    <row r="551" ht="15.75" customHeight="1">
      <c r="K551" s="38"/>
      <c r="R551" s="39"/>
      <c r="Y551" s="39"/>
      <c r="AF551" s="39"/>
      <c r="AM551" s="40"/>
      <c r="AT551" s="40"/>
      <c r="BA551" s="41"/>
      <c r="BH551" s="42"/>
      <c r="BO551" s="42"/>
      <c r="BP551" s="43"/>
      <c r="CB551" s="44"/>
      <c r="CC551" s="39"/>
      <c r="CD551" s="39"/>
      <c r="CE551" s="39"/>
      <c r="CF551" s="40"/>
      <c r="CG551" s="40"/>
      <c r="CH551" s="41"/>
      <c r="CI551" s="45"/>
      <c r="CJ551" s="45"/>
      <c r="CK551" s="45"/>
      <c r="CL551" s="45"/>
    </row>
    <row r="552" ht="15.75" customHeight="1">
      <c r="K552" s="38"/>
      <c r="R552" s="39"/>
      <c r="Y552" s="39"/>
      <c r="AF552" s="39"/>
      <c r="AM552" s="40"/>
      <c r="AT552" s="40"/>
      <c r="BA552" s="41"/>
      <c r="BH552" s="42"/>
      <c r="BO552" s="42"/>
      <c r="BP552" s="43"/>
      <c r="CB552" s="44"/>
      <c r="CC552" s="39"/>
      <c r="CD552" s="39"/>
      <c r="CE552" s="39"/>
      <c r="CF552" s="40"/>
      <c r="CG552" s="40"/>
      <c r="CH552" s="41"/>
      <c r="CI552" s="45"/>
      <c r="CJ552" s="45"/>
      <c r="CK552" s="45"/>
      <c r="CL552" s="45"/>
    </row>
    <row r="553" ht="15.75" customHeight="1">
      <c r="K553" s="38"/>
      <c r="R553" s="39"/>
      <c r="Y553" s="39"/>
      <c r="AF553" s="39"/>
      <c r="AM553" s="40"/>
      <c r="AT553" s="40"/>
      <c r="BA553" s="41"/>
      <c r="BH553" s="42"/>
      <c r="BO553" s="42"/>
      <c r="BP553" s="43"/>
      <c r="CB553" s="44"/>
      <c r="CC553" s="39"/>
      <c r="CD553" s="39"/>
      <c r="CE553" s="39"/>
      <c r="CF553" s="40"/>
      <c r="CG553" s="40"/>
      <c r="CH553" s="41"/>
      <c r="CI553" s="45"/>
      <c r="CJ553" s="45"/>
      <c r="CK553" s="45"/>
      <c r="CL553" s="45"/>
    </row>
    <row r="554" ht="15.75" customHeight="1">
      <c r="K554" s="38"/>
      <c r="R554" s="39"/>
      <c r="Y554" s="39"/>
      <c r="AF554" s="39"/>
      <c r="AM554" s="40"/>
      <c r="AT554" s="40"/>
      <c r="BA554" s="41"/>
      <c r="BH554" s="42"/>
      <c r="BO554" s="42"/>
      <c r="BP554" s="43"/>
      <c r="CB554" s="44"/>
      <c r="CC554" s="39"/>
      <c r="CD554" s="39"/>
      <c r="CE554" s="39"/>
      <c r="CF554" s="40"/>
      <c r="CG554" s="40"/>
      <c r="CH554" s="41"/>
      <c r="CI554" s="45"/>
      <c r="CJ554" s="45"/>
      <c r="CK554" s="45"/>
      <c r="CL554" s="45"/>
    </row>
    <row r="555" ht="15.75" customHeight="1">
      <c r="K555" s="38"/>
      <c r="R555" s="39"/>
      <c r="Y555" s="39"/>
      <c r="AF555" s="39"/>
      <c r="AM555" s="40"/>
      <c r="AT555" s="40"/>
      <c r="BA555" s="41"/>
      <c r="BH555" s="42"/>
      <c r="BO555" s="42"/>
      <c r="BP555" s="43"/>
      <c r="CB555" s="44"/>
      <c r="CC555" s="39"/>
      <c r="CD555" s="39"/>
      <c r="CE555" s="39"/>
      <c r="CF555" s="40"/>
      <c r="CG555" s="40"/>
      <c r="CH555" s="41"/>
      <c r="CI555" s="45"/>
      <c r="CJ555" s="45"/>
      <c r="CK555" s="45"/>
      <c r="CL555" s="45"/>
    </row>
    <row r="556" ht="15.75" customHeight="1">
      <c r="K556" s="38"/>
      <c r="R556" s="39"/>
      <c r="Y556" s="39"/>
      <c r="AF556" s="39"/>
      <c r="AM556" s="40"/>
      <c r="AT556" s="40"/>
      <c r="BA556" s="41"/>
      <c r="BH556" s="42"/>
      <c r="BO556" s="42"/>
      <c r="BP556" s="43"/>
      <c r="CB556" s="44"/>
      <c r="CC556" s="39"/>
      <c r="CD556" s="39"/>
      <c r="CE556" s="39"/>
      <c r="CF556" s="40"/>
      <c r="CG556" s="40"/>
      <c r="CH556" s="41"/>
      <c r="CI556" s="45"/>
      <c r="CJ556" s="45"/>
      <c r="CK556" s="45"/>
      <c r="CL556" s="45"/>
    </row>
    <row r="557" ht="15.75" customHeight="1">
      <c r="K557" s="38"/>
      <c r="R557" s="39"/>
      <c r="Y557" s="39"/>
      <c r="AF557" s="39"/>
      <c r="AM557" s="40"/>
      <c r="AT557" s="40"/>
      <c r="BA557" s="41"/>
      <c r="BH557" s="42"/>
      <c r="BO557" s="42"/>
      <c r="BP557" s="43"/>
      <c r="CB557" s="44"/>
      <c r="CC557" s="39"/>
      <c r="CD557" s="39"/>
      <c r="CE557" s="39"/>
      <c r="CF557" s="40"/>
      <c r="CG557" s="40"/>
      <c r="CH557" s="41"/>
      <c r="CI557" s="45"/>
      <c r="CJ557" s="45"/>
      <c r="CK557" s="45"/>
      <c r="CL557" s="45"/>
    </row>
    <row r="558" ht="15.75" customHeight="1">
      <c r="K558" s="38"/>
      <c r="R558" s="39"/>
      <c r="Y558" s="39"/>
      <c r="AF558" s="39"/>
      <c r="AM558" s="40"/>
      <c r="AT558" s="40"/>
      <c r="BA558" s="41"/>
      <c r="BH558" s="42"/>
      <c r="BO558" s="42"/>
      <c r="BP558" s="43"/>
      <c r="CB558" s="44"/>
      <c r="CC558" s="39"/>
      <c r="CD558" s="39"/>
      <c r="CE558" s="39"/>
      <c r="CF558" s="40"/>
      <c r="CG558" s="40"/>
      <c r="CH558" s="41"/>
      <c r="CI558" s="45"/>
      <c r="CJ558" s="45"/>
      <c r="CK558" s="45"/>
      <c r="CL558" s="45"/>
    </row>
    <row r="559" ht="15.75" customHeight="1">
      <c r="K559" s="38"/>
      <c r="R559" s="39"/>
      <c r="Y559" s="39"/>
      <c r="AF559" s="39"/>
      <c r="AM559" s="40"/>
      <c r="AT559" s="40"/>
      <c r="BA559" s="41"/>
      <c r="BH559" s="42"/>
      <c r="BO559" s="42"/>
      <c r="BP559" s="43"/>
      <c r="CB559" s="44"/>
      <c r="CC559" s="39"/>
      <c r="CD559" s="39"/>
      <c r="CE559" s="39"/>
      <c r="CF559" s="40"/>
      <c r="CG559" s="40"/>
      <c r="CH559" s="41"/>
      <c r="CI559" s="45"/>
      <c r="CJ559" s="45"/>
      <c r="CK559" s="45"/>
      <c r="CL559" s="45"/>
    </row>
    <row r="560" ht="15.75" customHeight="1">
      <c r="K560" s="38"/>
      <c r="R560" s="39"/>
      <c r="Y560" s="39"/>
      <c r="AF560" s="39"/>
      <c r="AM560" s="40"/>
      <c r="AT560" s="40"/>
      <c r="BA560" s="41"/>
      <c r="BH560" s="42"/>
      <c r="BO560" s="42"/>
      <c r="BP560" s="43"/>
      <c r="CB560" s="44"/>
      <c r="CC560" s="39"/>
      <c r="CD560" s="39"/>
      <c r="CE560" s="39"/>
      <c r="CF560" s="40"/>
      <c r="CG560" s="40"/>
      <c r="CH560" s="41"/>
      <c r="CI560" s="45"/>
      <c r="CJ560" s="45"/>
      <c r="CK560" s="45"/>
      <c r="CL560" s="45"/>
    </row>
    <row r="561" ht="15.75" customHeight="1">
      <c r="K561" s="38"/>
      <c r="R561" s="39"/>
      <c r="Y561" s="39"/>
      <c r="AF561" s="39"/>
      <c r="AM561" s="40"/>
      <c r="AT561" s="40"/>
      <c r="BA561" s="41"/>
      <c r="BH561" s="42"/>
      <c r="BO561" s="42"/>
      <c r="BP561" s="43"/>
      <c r="CB561" s="44"/>
      <c r="CC561" s="39"/>
      <c r="CD561" s="39"/>
      <c r="CE561" s="39"/>
      <c r="CF561" s="40"/>
      <c r="CG561" s="40"/>
      <c r="CH561" s="41"/>
      <c r="CI561" s="45"/>
      <c r="CJ561" s="45"/>
      <c r="CK561" s="45"/>
      <c r="CL561" s="45"/>
    </row>
    <row r="562" ht="15.75" customHeight="1">
      <c r="K562" s="38"/>
      <c r="R562" s="39"/>
      <c r="Y562" s="39"/>
      <c r="AF562" s="39"/>
      <c r="AM562" s="40"/>
      <c r="AT562" s="40"/>
      <c r="BA562" s="41"/>
      <c r="BH562" s="42"/>
      <c r="BO562" s="42"/>
      <c r="BP562" s="43"/>
      <c r="CB562" s="44"/>
      <c r="CC562" s="39"/>
      <c r="CD562" s="39"/>
      <c r="CE562" s="39"/>
      <c r="CF562" s="40"/>
      <c r="CG562" s="40"/>
      <c r="CH562" s="41"/>
      <c r="CI562" s="45"/>
      <c r="CJ562" s="45"/>
      <c r="CK562" s="45"/>
      <c r="CL562" s="45"/>
    </row>
    <row r="563" ht="15.75" customHeight="1">
      <c r="K563" s="38"/>
      <c r="R563" s="39"/>
      <c r="Y563" s="39"/>
      <c r="AF563" s="39"/>
      <c r="AM563" s="40"/>
      <c r="AT563" s="40"/>
      <c r="BA563" s="41"/>
      <c r="BH563" s="42"/>
      <c r="BO563" s="42"/>
      <c r="BP563" s="43"/>
      <c r="CB563" s="44"/>
      <c r="CC563" s="39"/>
      <c r="CD563" s="39"/>
      <c r="CE563" s="39"/>
      <c r="CF563" s="40"/>
      <c r="CG563" s="40"/>
      <c r="CH563" s="41"/>
      <c r="CI563" s="45"/>
      <c r="CJ563" s="45"/>
      <c r="CK563" s="45"/>
      <c r="CL563" s="45"/>
    </row>
    <row r="564" ht="15.75" customHeight="1">
      <c r="K564" s="38"/>
      <c r="R564" s="39"/>
      <c r="Y564" s="39"/>
      <c r="AF564" s="39"/>
      <c r="AM564" s="40"/>
      <c r="AT564" s="40"/>
      <c r="BA564" s="41"/>
      <c r="BH564" s="42"/>
      <c r="BO564" s="42"/>
      <c r="BP564" s="43"/>
      <c r="CB564" s="44"/>
      <c r="CC564" s="39"/>
      <c r="CD564" s="39"/>
      <c r="CE564" s="39"/>
      <c r="CF564" s="40"/>
      <c r="CG564" s="40"/>
      <c r="CH564" s="41"/>
      <c r="CI564" s="45"/>
      <c r="CJ564" s="45"/>
      <c r="CK564" s="45"/>
      <c r="CL564" s="45"/>
    </row>
    <row r="565" ht="15.75" customHeight="1">
      <c r="K565" s="38"/>
      <c r="R565" s="39"/>
      <c r="Y565" s="39"/>
      <c r="AF565" s="39"/>
      <c r="AM565" s="40"/>
      <c r="AT565" s="40"/>
      <c r="BA565" s="41"/>
      <c r="BH565" s="42"/>
      <c r="BO565" s="42"/>
      <c r="BP565" s="43"/>
      <c r="CB565" s="44"/>
      <c r="CC565" s="39"/>
      <c r="CD565" s="39"/>
      <c r="CE565" s="39"/>
      <c r="CF565" s="40"/>
      <c r="CG565" s="40"/>
      <c r="CH565" s="41"/>
      <c r="CI565" s="45"/>
      <c r="CJ565" s="45"/>
      <c r="CK565" s="45"/>
      <c r="CL565" s="45"/>
    </row>
    <row r="566" ht="15.75" customHeight="1">
      <c r="K566" s="38"/>
      <c r="R566" s="39"/>
      <c r="Y566" s="39"/>
      <c r="AF566" s="39"/>
      <c r="AM566" s="40"/>
      <c r="AT566" s="40"/>
      <c r="BA566" s="41"/>
      <c r="BH566" s="42"/>
      <c r="BO566" s="42"/>
      <c r="BP566" s="43"/>
      <c r="CB566" s="44"/>
      <c r="CC566" s="39"/>
      <c r="CD566" s="39"/>
      <c r="CE566" s="39"/>
      <c r="CF566" s="40"/>
      <c r="CG566" s="40"/>
      <c r="CH566" s="41"/>
      <c r="CI566" s="45"/>
      <c r="CJ566" s="45"/>
      <c r="CK566" s="45"/>
      <c r="CL566" s="45"/>
    </row>
    <row r="567" ht="15.75" customHeight="1">
      <c r="K567" s="38"/>
      <c r="R567" s="39"/>
      <c r="Y567" s="39"/>
      <c r="AF567" s="39"/>
      <c r="AM567" s="40"/>
      <c r="AT567" s="40"/>
      <c r="BA567" s="41"/>
      <c r="BH567" s="42"/>
      <c r="BO567" s="42"/>
      <c r="BP567" s="43"/>
      <c r="CB567" s="44"/>
      <c r="CC567" s="39"/>
      <c r="CD567" s="39"/>
      <c r="CE567" s="39"/>
      <c r="CF567" s="40"/>
      <c r="CG567" s="40"/>
      <c r="CH567" s="41"/>
      <c r="CI567" s="45"/>
      <c r="CJ567" s="45"/>
      <c r="CK567" s="45"/>
      <c r="CL567" s="45"/>
    </row>
    <row r="568" ht="15.75" customHeight="1">
      <c r="K568" s="38"/>
      <c r="R568" s="39"/>
      <c r="Y568" s="39"/>
      <c r="AF568" s="39"/>
      <c r="AM568" s="40"/>
      <c r="AT568" s="40"/>
      <c r="BA568" s="41"/>
      <c r="BH568" s="42"/>
      <c r="BO568" s="42"/>
      <c r="BP568" s="43"/>
      <c r="CB568" s="44"/>
      <c r="CC568" s="39"/>
      <c r="CD568" s="39"/>
      <c r="CE568" s="39"/>
      <c r="CF568" s="40"/>
      <c r="CG568" s="40"/>
      <c r="CH568" s="41"/>
      <c r="CI568" s="45"/>
      <c r="CJ568" s="45"/>
      <c r="CK568" s="45"/>
      <c r="CL568" s="45"/>
    </row>
    <row r="569" ht="15.75" customHeight="1">
      <c r="K569" s="38"/>
      <c r="R569" s="39"/>
      <c r="Y569" s="39"/>
      <c r="AF569" s="39"/>
      <c r="AM569" s="40"/>
      <c r="AT569" s="40"/>
      <c r="BA569" s="41"/>
      <c r="BH569" s="42"/>
      <c r="BO569" s="42"/>
      <c r="BP569" s="43"/>
      <c r="CB569" s="44"/>
      <c r="CC569" s="39"/>
      <c r="CD569" s="39"/>
      <c r="CE569" s="39"/>
      <c r="CF569" s="40"/>
      <c r="CG569" s="40"/>
      <c r="CH569" s="41"/>
      <c r="CI569" s="45"/>
      <c r="CJ569" s="45"/>
      <c r="CK569" s="45"/>
      <c r="CL569" s="45"/>
    </row>
    <row r="570" ht="15.75" customHeight="1">
      <c r="K570" s="38"/>
      <c r="R570" s="39"/>
      <c r="Y570" s="39"/>
      <c r="AF570" s="39"/>
      <c r="AM570" s="40"/>
      <c r="AT570" s="40"/>
      <c r="BA570" s="41"/>
      <c r="BH570" s="42"/>
      <c r="BO570" s="42"/>
      <c r="BP570" s="43"/>
      <c r="CB570" s="44"/>
      <c r="CC570" s="39"/>
      <c r="CD570" s="39"/>
      <c r="CE570" s="39"/>
      <c r="CF570" s="40"/>
      <c r="CG570" s="40"/>
      <c r="CH570" s="41"/>
      <c r="CI570" s="45"/>
      <c r="CJ570" s="45"/>
      <c r="CK570" s="45"/>
      <c r="CL570" s="45"/>
    </row>
    <row r="571" ht="15.75" customHeight="1">
      <c r="K571" s="38"/>
      <c r="R571" s="39"/>
      <c r="Y571" s="39"/>
      <c r="AF571" s="39"/>
      <c r="AM571" s="40"/>
      <c r="AT571" s="40"/>
      <c r="BA571" s="41"/>
      <c r="BH571" s="42"/>
      <c r="BO571" s="42"/>
      <c r="BP571" s="43"/>
      <c r="CB571" s="44"/>
      <c r="CC571" s="39"/>
      <c r="CD571" s="39"/>
      <c r="CE571" s="39"/>
      <c r="CF571" s="40"/>
      <c r="CG571" s="40"/>
      <c r="CH571" s="41"/>
      <c r="CI571" s="45"/>
      <c r="CJ571" s="45"/>
      <c r="CK571" s="45"/>
      <c r="CL571" s="45"/>
    </row>
    <row r="572" ht="15.75" customHeight="1">
      <c r="K572" s="38"/>
      <c r="R572" s="39"/>
      <c r="Y572" s="39"/>
      <c r="AF572" s="39"/>
      <c r="AM572" s="40"/>
      <c r="AT572" s="40"/>
      <c r="BA572" s="41"/>
      <c r="BH572" s="42"/>
      <c r="BO572" s="42"/>
      <c r="BP572" s="43"/>
      <c r="CB572" s="44"/>
      <c r="CC572" s="39"/>
      <c r="CD572" s="39"/>
      <c r="CE572" s="39"/>
      <c r="CF572" s="40"/>
      <c r="CG572" s="40"/>
      <c r="CH572" s="41"/>
      <c r="CI572" s="45"/>
      <c r="CJ572" s="45"/>
      <c r="CK572" s="45"/>
      <c r="CL572" s="45"/>
    </row>
    <row r="573" ht="15.75" customHeight="1">
      <c r="K573" s="38"/>
      <c r="R573" s="39"/>
      <c r="Y573" s="39"/>
      <c r="AF573" s="39"/>
      <c r="AM573" s="40"/>
      <c r="AT573" s="40"/>
      <c r="BA573" s="41"/>
      <c r="BH573" s="42"/>
      <c r="BO573" s="42"/>
      <c r="BP573" s="43"/>
      <c r="CB573" s="44"/>
      <c r="CC573" s="39"/>
      <c r="CD573" s="39"/>
      <c r="CE573" s="39"/>
      <c r="CF573" s="40"/>
      <c r="CG573" s="40"/>
      <c r="CH573" s="41"/>
      <c r="CI573" s="45"/>
      <c r="CJ573" s="45"/>
      <c r="CK573" s="45"/>
      <c r="CL573" s="45"/>
    </row>
    <row r="574" ht="15.75" customHeight="1">
      <c r="K574" s="38"/>
      <c r="R574" s="39"/>
      <c r="Y574" s="39"/>
      <c r="AF574" s="39"/>
      <c r="AM574" s="40"/>
      <c r="AT574" s="40"/>
      <c r="BA574" s="41"/>
      <c r="BH574" s="42"/>
      <c r="BO574" s="42"/>
      <c r="BP574" s="43"/>
      <c r="CB574" s="44"/>
      <c r="CC574" s="39"/>
      <c r="CD574" s="39"/>
      <c r="CE574" s="39"/>
      <c r="CF574" s="40"/>
      <c r="CG574" s="40"/>
      <c r="CH574" s="41"/>
      <c r="CI574" s="45"/>
      <c r="CJ574" s="45"/>
      <c r="CK574" s="45"/>
      <c r="CL574" s="45"/>
    </row>
    <row r="575" ht="15.75" customHeight="1">
      <c r="K575" s="38"/>
      <c r="R575" s="39"/>
      <c r="Y575" s="39"/>
      <c r="AF575" s="39"/>
      <c r="AM575" s="40"/>
      <c r="AT575" s="40"/>
      <c r="BA575" s="41"/>
      <c r="BH575" s="42"/>
      <c r="BO575" s="42"/>
      <c r="BP575" s="43"/>
      <c r="CB575" s="44"/>
      <c r="CC575" s="39"/>
      <c r="CD575" s="39"/>
      <c r="CE575" s="39"/>
      <c r="CF575" s="40"/>
      <c r="CG575" s="40"/>
      <c r="CH575" s="41"/>
      <c r="CI575" s="45"/>
      <c r="CJ575" s="45"/>
      <c r="CK575" s="45"/>
      <c r="CL575" s="45"/>
    </row>
    <row r="576" ht="15.75" customHeight="1">
      <c r="K576" s="38"/>
      <c r="R576" s="39"/>
      <c r="Y576" s="39"/>
      <c r="AF576" s="39"/>
      <c r="AM576" s="40"/>
      <c r="AT576" s="40"/>
      <c r="BA576" s="41"/>
      <c r="BH576" s="42"/>
      <c r="BO576" s="42"/>
      <c r="BP576" s="43"/>
      <c r="CB576" s="44"/>
      <c r="CC576" s="39"/>
      <c r="CD576" s="39"/>
      <c r="CE576" s="39"/>
      <c r="CF576" s="40"/>
      <c r="CG576" s="40"/>
      <c r="CH576" s="41"/>
      <c r="CI576" s="45"/>
      <c r="CJ576" s="45"/>
      <c r="CK576" s="45"/>
      <c r="CL576" s="45"/>
    </row>
    <row r="577" ht="15.75" customHeight="1">
      <c r="K577" s="38"/>
      <c r="R577" s="39"/>
      <c r="Y577" s="39"/>
      <c r="AF577" s="39"/>
      <c r="AM577" s="40"/>
      <c r="AT577" s="40"/>
      <c r="BA577" s="41"/>
      <c r="BH577" s="42"/>
      <c r="BO577" s="42"/>
      <c r="BP577" s="43"/>
      <c r="CB577" s="44"/>
      <c r="CC577" s="39"/>
      <c r="CD577" s="39"/>
      <c r="CE577" s="39"/>
      <c r="CF577" s="40"/>
      <c r="CG577" s="40"/>
      <c r="CH577" s="41"/>
      <c r="CI577" s="45"/>
      <c r="CJ577" s="45"/>
      <c r="CK577" s="45"/>
      <c r="CL577" s="45"/>
    </row>
    <row r="578" ht="15.75" customHeight="1">
      <c r="K578" s="38"/>
      <c r="R578" s="39"/>
      <c r="Y578" s="39"/>
      <c r="AF578" s="39"/>
      <c r="AM578" s="40"/>
      <c r="AT578" s="40"/>
      <c r="BA578" s="41"/>
      <c r="BH578" s="42"/>
      <c r="BO578" s="42"/>
      <c r="BP578" s="43"/>
      <c r="CB578" s="44"/>
      <c r="CC578" s="39"/>
      <c r="CD578" s="39"/>
      <c r="CE578" s="39"/>
      <c r="CF578" s="40"/>
      <c r="CG578" s="40"/>
      <c r="CH578" s="41"/>
      <c r="CI578" s="45"/>
      <c r="CJ578" s="45"/>
      <c r="CK578" s="45"/>
      <c r="CL578" s="45"/>
    </row>
    <row r="579" ht="15.75" customHeight="1">
      <c r="K579" s="38"/>
      <c r="R579" s="39"/>
      <c r="Y579" s="39"/>
      <c r="AF579" s="39"/>
      <c r="AM579" s="40"/>
      <c r="AT579" s="40"/>
      <c r="BA579" s="41"/>
      <c r="BH579" s="42"/>
      <c r="BO579" s="42"/>
      <c r="BP579" s="43"/>
      <c r="CB579" s="44"/>
      <c r="CC579" s="39"/>
      <c r="CD579" s="39"/>
      <c r="CE579" s="39"/>
      <c r="CF579" s="40"/>
      <c r="CG579" s="40"/>
      <c r="CH579" s="41"/>
      <c r="CI579" s="45"/>
      <c r="CJ579" s="45"/>
      <c r="CK579" s="45"/>
      <c r="CL579" s="45"/>
    </row>
    <row r="580" ht="15.75" customHeight="1">
      <c r="K580" s="38"/>
      <c r="R580" s="39"/>
      <c r="Y580" s="39"/>
      <c r="AF580" s="39"/>
      <c r="AM580" s="40"/>
      <c r="AT580" s="40"/>
      <c r="BA580" s="41"/>
      <c r="BH580" s="42"/>
      <c r="BO580" s="42"/>
      <c r="BP580" s="43"/>
      <c r="CB580" s="44"/>
      <c r="CC580" s="39"/>
      <c r="CD580" s="39"/>
      <c r="CE580" s="39"/>
      <c r="CF580" s="40"/>
      <c r="CG580" s="40"/>
      <c r="CH580" s="41"/>
      <c r="CI580" s="45"/>
      <c r="CJ580" s="45"/>
      <c r="CK580" s="45"/>
      <c r="CL580" s="45"/>
    </row>
    <row r="581" ht="15.75" customHeight="1">
      <c r="K581" s="38"/>
      <c r="R581" s="39"/>
      <c r="Y581" s="39"/>
      <c r="AF581" s="39"/>
      <c r="AM581" s="40"/>
      <c r="AT581" s="40"/>
      <c r="BA581" s="41"/>
      <c r="BH581" s="42"/>
      <c r="BO581" s="42"/>
      <c r="BP581" s="43"/>
      <c r="CB581" s="44"/>
      <c r="CC581" s="39"/>
      <c r="CD581" s="39"/>
      <c r="CE581" s="39"/>
      <c r="CF581" s="40"/>
      <c r="CG581" s="40"/>
      <c r="CH581" s="41"/>
      <c r="CI581" s="45"/>
      <c r="CJ581" s="45"/>
      <c r="CK581" s="45"/>
      <c r="CL581" s="45"/>
    </row>
    <row r="582" ht="15.75" customHeight="1">
      <c r="K582" s="38"/>
      <c r="R582" s="39"/>
      <c r="Y582" s="39"/>
      <c r="AF582" s="39"/>
      <c r="AM582" s="40"/>
      <c r="AT582" s="40"/>
      <c r="BA582" s="41"/>
      <c r="BH582" s="42"/>
      <c r="BO582" s="42"/>
      <c r="BP582" s="43"/>
      <c r="CB582" s="44"/>
      <c r="CC582" s="39"/>
      <c r="CD582" s="39"/>
      <c r="CE582" s="39"/>
      <c r="CF582" s="40"/>
      <c r="CG582" s="40"/>
      <c r="CH582" s="41"/>
      <c r="CI582" s="45"/>
      <c r="CJ582" s="45"/>
      <c r="CK582" s="45"/>
      <c r="CL582" s="45"/>
    </row>
    <row r="583" ht="15.75" customHeight="1">
      <c r="K583" s="38"/>
      <c r="R583" s="39"/>
      <c r="Y583" s="39"/>
      <c r="AF583" s="39"/>
      <c r="AM583" s="40"/>
      <c r="AT583" s="40"/>
      <c r="BA583" s="41"/>
      <c r="BH583" s="42"/>
      <c r="BO583" s="42"/>
      <c r="BP583" s="43"/>
      <c r="CB583" s="44"/>
      <c r="CC583" s="39"/>
      <c r="CD583" s="39"/>
      <c r="CE583" s="39"/>
      <c r="CF583" s="40"/>
      <c r="CG583" s="40"/>
      <c r="CH583" s="41"/>
      <c r="CI583" s="45"/>
      <c r="CJ583" s="45"/>
      <c r="CK583" s="45"/>
      <c r="CL583" s="45"/>
    </row>
    <row r="584" ht="15.75" customHeight="1">
      <c r="K584" s="38"/>
      <c r="R584" s="39"/>
      <c r="Y584" s="39"/>
      <c r="AF584" s="39"/>
      <c r="AM584" s="40"/>
      <c r="AT584" s="40"/>
      <c r="BA584" s="41"/>
      <c r="BH584" s="42"/>
      <c r="BO584" s="42"/>
      <c r="BP584" s="43"/>
      <c r="CB584" s="44"/>
      <c r="CC584" s="39"/>
      <c r="CD584" s="39"/>
      <c r="CE584" s="39"/>
      <c r="CF584" s="40"/>
      <c r="CG584" s="40"/>
      <c r="CH584" s="41"/>
      <c r="CI584" s="45"/>
      <c r="CJ584" s="45"/>
      <c r="CK584" s="45"/>
      <c r="CL584" s="45"/>
    </row>
    <row r="585" ht="15.75" customHeight="1">
      <c r="K585" s="38"/>
      <c r="R585" s="39"/>
      <c r="Y585" s="39"/>
      <c r="AF585" s="39"/>
      <c r="AM585" s="40"/>
      <c r="AT585" s="40"/>
      <c r="BA585" s="41"/>
      <c r="BH585" s="42"/>
      <c r="BO585" s="42"/>
      <c r="BP585" s="43"/>
      <c r="CB585" s="44"/>
      <c r="CC585" s="39"/>
      <c r="CD585" s="39"/>
      <c r="CE585" s="39"/>
      <c r="CF585" s="40"/>
      <c r="CG585" s="40"/>
      <c r="CH585" s="41"/>
      <c r="CI585" s="45"/>
      <c r="CJ585" s="45"/>
      <c r="CK585" s="45"/>
      <c r="CL585" s="45"/>
    </row>
    <row r="586" ht="15.75" customHeight="1">
      <c r="K586" s="38"/>
      <c r="R586" s="39"/>
      <c r="Y586" s="39"/>
      <c r="AF586" s="39"/>
      <c r="AM586" s="40"/>
      <c r="AT586" s="40"/>
      <c r="BA586" s="41"/>
      <c r="BH586" s="42"/>
      <c r="BO586" s="42"/>
      <c r="BP586" s="43"/>
      <c r="CB586" s="44"/>
      <c r="CC586" s="39"/>
      <c r="CD586" s="39"/>
      <c r="CE586" s="39"/>
      <c r="CF586" s="40"/>
      <c r="CG586" s="40"/>
      <c r="CH586" s="41"/>
      <c r="CI586" s="45"/>
      <c r="CJ586" s="45"/>
      <c r="CK586" s="45"/>
      <c r="CL586" s="45"/>
    </row>
    <row r="587" ht="15.75" customHeight="1">
      <c r="K587" s="38"/>
      <c r="R587" s="39"/>
      <c r="Y587" s="39"/>
      <c r="AF587" s="39"/>
      <c r="AM587" s="40"/>
      <c r="AT587" s="40"/>
      <c r="BA587" s="41"/>
      <c r="BH587" s="42"/>
      <c r="BO587" s="42"/>
      <c r="BP587" s="43"/>
      <c r="CB587" s="44"/>
      <c r="CC587" s="39"/>
      <c r="CD587" s="39"/>
      <c r="CE587" s="39"/>
      <c r="CF587" s="40"/>
      <c r="CG587" s="40"/>
      <c r="CH587" s="41"/>
      <c r="CI587" s="45"/>
      <c r="CJ587" s="45"/>
      <c r="CK587" s="45"/>
      <c r="CL587" s="45"/>
    </row>
    <row r="588" ht="15.75" customHeight="1">
      <c r="K588" s="38"/>
      <c r="R588" s="39"/>
      <c r="Y588" s="39"/>
      <c r="AF588" s="39"/>
      <c r="AM588" s="40"/>
      <c r="AT588" s="40"/>
      <c r="BA588" s="41"/>
      <c r="BH588" s="42"/>
      <c r="BO588" s="42"/>
      <c r="BP588" s="43"/>
      <c r="CB588" s="44"/>
      <c r="CC588" s="39"/>
      <c r="CD588" s="39"/>
      <c r="CE588" s="39"/>
      <c r="CF588" s="40"/>
      <c r="CG588" s="40"/>
      <c r="CH588" s="41"/>
      <c r="CI588" s="45"/>
      <c r="CJ588" s="45"/>
      <c r="CK588" s="45"/>
      <c r="CL588" s="45"/>
    </row>
    <row r="589" ht="15.75" customHeight="1">
      <c r="K589" s="38"/>
      <c r="R589" s="39"/>
      <c r="Y589" s="39"/>
      <c r="AF589" s="39"/>
      <c r="AM589" s="40"/>
      <c r="AT589" s="40"/>
      <c r="BA589" s="41"/>
      <c r="BH589" s="42"/>
      <c r="BO589" s="42"/>
      <c r="BP589" s="43"/>
      <c r="CB589" s="44"/>
      <c r="CC589" s="39"/>
      <c r="CD589" s="39"/>
      <c r="CE589" s="39"/>
      <c r="CF589" s="40"/>
      <c r="CG589" s="40"/>
      <c r="CH589" s="41"/>
      <c r="CI589" s="45"/>
      <c r="CJ589" s="45"/>
      <c r="CK589" s="45"/>
      <c r="CL589" s="45"/>
    </row>
    <row r="590" ht="15.75" customHeight="1">
      <c r="K590" s="38"/>
      <c r="R590" s="39"/>
      <c r="Y590" s="39"/>
      <c r="AF590" s="39"/>
      <c r="AM590" s="40"/>
      <c r="AT590" s="40"/>
      <c r="BA590" s="41"/>
      <c r="BH590" s="42"/>
      <c r="BO590" s="42"/>
      <c r="BP590" s="43"/>
      <c r="CB590" s="44"/>
      <c r="CC590" s="39"/>
      <c r="CD590" s="39"/>
      <c r="CE590" s="39"/>
      <c r="CF590" s="40"/>
      <c r="CG590" s="40"/>
      <c r="CH590" s="41"/>
      <c r="CI590" s="45"/>
      <c r="CJ590" s="45"/>
      <c r="CK590" s="45"/>
      <c r="CL590" s="45"/>
    </row>
    <row r="591" ht="15.75" customHeight="1">
      <c r="K591" s="38"/>
      <c r="R591" s="39"/>
      <c r="Y591" s="39"/>
      <c r="AF591" s="39"/>
      <c r="AM591" s="40"/>
      <c r="AT591" s="40"/>
      <c r="BA591" s="41"/>
      <c r="BH591" s="42"/>
      <c r="BO591" s="42"/>
      <c r="BP591" s="43"/>
      <c r="CB591" s="44"/>
      <c r="CC591" s="39"/>
      <c r="CD591" s="39"/>
      <c r="CE591" s="39"/>
      <c r="CF591" s="40"/>
      <c r="CG591" s="40"/>
      <c r="CH591" s="41"/>
      <c r="CI591" s="45"/>
      <c r="CJ591" s="45"/>
      <c r="CK591" s="45"/>
      <c r="CL591" s="45"/>
    </row>
    <row r="592" ht="15.75" customHeight="1">
      <c r="K592" s="38"/>
      <c r="R592" s="39"/>
      <c r="Y592" s="39"/>
      <c r="AF592" s="39"/>
      <c r="AM592" s="40"/>
      <c r="AT592" s="40"/>
      <c r="BA592" s="41"/>
      <c r="BH592" s="42"/>
      <c r="BO592" s="42"/>
      <c r="BP592" s="43"/>
      <c r="CB592" s="44"/>
      <c r="CC592" s="39"/>
      <c r="CD592" s="39"/>
      <c r="CE592" s="39"/>
      <c r="CF592" s="40"/>
      <c r="CG592" s="40"/>
      <c r="CH592" s="41"/>
      <c r="CI592" s="45"/>
      <c r="CJ592" s="45"/>
      <c r="CK592" s="45"/>
      <c r="CL592" s="45"/>
    </row>
    <row r="593" ht="15.75" customHeight="1">
      <c r="K593" s="38"/>
      <c r="R593" s="39"/>
      <c r="Y593" s="39"/>
      <c r="AF593" s="39"/>
      <c r="AM593" s="40"/>
      <c r="AT593" s="40"/>
      <c r="BA593" s="41"/>
      <c r="BH593" s="42"/>
      <c r="BO593" s="42"/>
      <c r="BP593" s="43"/>
      <c r="CB593" s="44"/>
      <c r="CC593" s="39"/>
      <c r="CD593" s="39"/>
      <c r="CE593" s="39"/>
      <c r="CF593" s="40"/>
      <c r="CG593" s="40"/>
      <c r="CH593" s="41"/>
      <c r="CI593" s="45"/>
      <c r="CJ593" s="45"/>
      <c r="CK593" s="45"/>
      <c r="CL593" s="45"/>
    </row>
    <row r="594" ht="15.75" customHeight="1">
      <c r="K594" s="38"/>
      <c r="R594" s="39"/>
      <c r="Y594" s="39"/>
      <c r="AF594" s="39"/>
      <c r="AM594" s="40"/>
      <c r="AT594" s="40"/>
      <c r="BA594" s="41"/>
      <c r="BH594" s="42"/>
      <c r="BO594" s="42"/>
      <c r="BP594" s="43"/>
      <c r="CB594" s="44"/>
      <c r="CC594" s="39"/>
      <c r="CD594" s="39"/>
      <c r="CE594" s="39"/>
      <c r="CF594" s="40"/>
      <c r="CG594" s="40"/>
      <c r="CH594" s="41"/>
      <c r="CI594" s="45"/>
      <c r="CJ594" s="45"/>
      <c r="CK594" s="45"/>
      <c r="CL594" s="45"/>
    </row>
    <row r="595" ht="15.75" customHeight="1">
      <c r="K595" s="38"/>
      <c r="R595" s="39"/>
      <c r="Y595" s="39"/>
      <c r="AF595" s="39"/>
      <c r="AM595" s="40"/>
      <c r="AT595" s="40"/>
      <c r="BA595" s="41"/>
      <c r="BH595" s="42"/>
      <c r="BO595" s="42"/>
      <c r="BP595" s="43"/>
      <c r="CB595" s="44"/>
      <c r="CC595" s="39"/>
      <c r="CD595" s="39"/>
      <c r="CE595" s="39"/>
      <c r="CF595" s="40"/>
      <c r="CG595" s="40"/>
      <c r="CH595" s="41"/>
      <c r="CI595" s="45"/>
      <c r="CJ595" s="45"/>
      <c r="CK595" s="45"/>
      <c r="CL595" s="45"/>
    </row>
    <row r="596" ht="15.75" customHeight="1">
      <c r="K596" s="38"/>
      <c r="R596" s="39"/>
      <c r="Y596" s="39"/>
      <c r="AF596" s="39"/>
      <c r="AM596" s="40"/>
      <c r="AT596" s="40"/>
      <c r="BA596" s="41"/>
      <c r="BH596" s="42"/>
      <c r="BO596" s="42"/>
      <c r="BP596" s="43"/>
      <c r="CB596" s="44"/>
      <c r="CC596" s="39"/>
      <c r="CD596" s="39"/>
      <c r="CE596" s="39"/>
      <c r="CF596" s="40"/>
      <c r="CG596" s="40"/>
      <c r="CH596" s="41"/>
      <c r="CI596" s="45"/>
      <c r="CJ596" s="45"/>
      <c r="CK596" s="45"/>
      <c r="CL596" s="45"/>
    </row>
    <row r="597" ht="15.75" customHeight="1">
      <c r="K597" s="38"/>
      <c r="R597" s="39"/>
      <c r="Y597" s="39"/>
      <c r="AF597" s="39"/>
      <c r="AM597" s="40"/>
      <c r="AT597" s="40"/>
      <c r="BA597" s="41"/>
      <c r="BH597" s="42"/>
      <c r="BO597" s="42"/>
      <c r="BP597" s="43"/>
      <c r="CB597" s="44"/>
      <c r="CC597" s="39"/>
      <c r="CD597" s="39"/>
      <c r="CE597" s="39"/>
      <c r="CF597" s="40"/>
      <c r="CG597" s="40"/>
      <c r="CH597" s="41"/>
      <c r="CI597" s="45"/>
      <c r="CJ597" s="45"/>
      <c r="CK597" s="45"/>
      <c r="CL597" s="45"/>
    </row>
    <row r="598" ht="15.75" customHeight="1">
      <c r="K598" s="38"/>
      <c r="R598" s="39"/>
      <c r="Y598" s="39"/>
      <c r="AF598" s="39"/>
      <c r="AM598" s="40"/>
      <c r="AT598" s="40"/>
      <c r="BA598" s="41"/>
      <c r="BH598" s="42"/>
      <c r="BO598" s="42"/>
      <c r="BP598" s="43"/>
      <c r="CB598" s="44"/>
      <c r="CC598" s="39"/>
      <c r="CD598" s="39"/>
      <c r="CE598" s="39"/>
      <c r="CF598" s="40"/>
      <c r="CG598" s="40"/>
      <c r="CH598" s="41"/>
      <c r="CI598" s="45"/>
      <c r="CJ598" s="45"/>
      <c r="CK598" s="45"/>
      <c r="CL598" s="45"/>
    </row>
    <row r="599" ht="15.75" customHeight="1">
      <c r="K599" s="38"/>
      <c r="R599" s="39"/>
      <c r="Y599" s="39"/>
      <c r="AF599" s="39"/>
      <c r="AM599" s="40"/>
      <c r="AT599" s="40"/>
      <c r="BA599" s="41"/>
      <c r="BH599" s="42"/>
      <c r="BO599" s="42"/>
      <c r="BP599" s="43"/>
      <c r="CB599" s="44"/>
      <c r="CC599" s="39"/>
      <c r="CD599" s="39"/>
      <c r="CE599" s="39"/>
      <c r="CF599" s="40"/>
      <c r="CG599" s="40"/>
      <c r="CH599" s="41"/>
      <c r="CI599" s="45"/>
      <c r="CJ599" s="45"/>
      <c r="CK599" s="45"/>
      <c r="CL599" s="45"/>
    </row>
    <row r="600" ht="15.75" customHeight="1">
      <c r="K600" s="38"/>
      <c r="R600" s="39"/>
      <c r="Y600" s="39"/>
      <c r="AF600" s="39"/>
      <c r="AM600" s="40"/>
      <c r="AT600" s="40"/>
      <c r="BA600" s="41"/>
      <c r="BH600" s="42"/>
      <c r="BO600" s="42"/>
      <c r="BP600" s="43"/>
      <c r="CB600" s="44"/>
      <c r="CC600" s="39"/>
      <c r="CD600" s="39"/>
      <c r="CE600" s="39"/>
      <c r="CF600" s="40"/>
      <c r="CG600" s="40"/>
      <c r="CH600" s="41"/>
      <c r="CI600" s="45"/>
      <c r="CJ600" s="45"/>
      <c r="CK600" s="45"/>
      <c r="CL600" s="45"/>
    </row>
    <row r="601" ht="15.75" customHeight="1">
      <c r="K601" s="38"/>
      <c r="R601" s="39"/>
      <c r="Y601" s="39"/>
      <c r="AF601" s="39"/>
      <c r="AM601" s="40"/>
      <c r="AT601" s="40"/>
      <c r="BA601" s="41"/>
      <c r="BH601" s="42"/>
      <c r="BO601" s="42"/>
      <c r="BP601" s="43"/>
      <c r="CB601" s="44"/>
      <c r="CC601" s="39"/>
      <c r="CD601" s="39"/>
      <c r="CE601" s="39"/>
      <c r="CF601" s="40"/>
      <c r="CG601" s="40"/>
      <c r="CH601" s="41"/>
      <c r="CI601" s="45"/>
      <c r="CJ601" s="45"/>
      <c r="CK601" s="45"/>
      <c r="CL601" s="45"/>
    </row>
    <row r="602" ht="15.75" customHeight="1">
      <c r="K602" s="38"/>
      <c r="R602" s="39"/>
      <c r="Y602" s="39"/>
      <c r="AF602" s="39"/>
      <c r="AM602" s="40"/>
      <c r="AT602" s="40"/>
      <c r="BA602" s="41"/>
      <c r="BH602" s="42"/>
      <c r="BO602" s="42"/>
      <c r="BP602" s="43"/>
      <c r="CB602" s="44"/>
      <c r="CC602" s="39"/>
      <c r="CD602" s="39"/>
      <c r="CE602" s="39"/>
      <c r="CF602" s="40"/>
      <c r="CG602" s="40"/>
      <c r="CH602" s="41"/>
      <c r="CI602" s="45"/>
      <c r="CJ602" s="45"/>
      <c r="CK602" s="45"/>
      <c r="CL602" s="45"/>
    </row>
    <row r="603" ht="15.75" customHeight="1">
      <c r="K603" s="38"/>
      <c r="R603" s="39"/>
      <c r="Y603" s="39"/>
      <c r="AF603" s="39"/>
      <c r="AM603" s="40"/>
      <c r="AT603" s="40"/>
      <c r="BA603" s="41"/>
      <c r="BH603" s="42"/>
      <c r="BO603" s="42"/>
      <c r="BP603" s="43"/>
      <c r="CB603" s="44"/>
      <c r="CC603" s="39"/>
      <c r="CD603" s="39"/>
      <c r="CE603" s="39"/>
      <c r="CF603" s="40"/>
      <c r="CG603" s="40"/>
      <c r="CH603" s="41"/>
      <c r="CI603" s="45"/>
      <c r="CJ603" s="45"/>
      <c r="CK603" s="45"/>
      <c r="CL603" s="45"/>
    </row>
    <row r="604" ht="15.75" customHeight="1">
      <c r="K604" s="38"/>
      <c r="R604" s="39"/>
      <c r="Y604" s="39"/>
      <c r="AF604" s="39"/>
      <c r="AM604" s="40"/>
      <c r="AT604" s="40"/>
      <c r="BA604" s="41"/>
      <c r="BH604" s="42"/>
      <c r="BO604" s="42"/>
      <c r="BP604" s="43"/>
      <c r="CB604" s="44"/>
      <c r="CC604" s="39"/>
      <c r="CD604" s="39"/>
      <c r="CE604" s="39"/>
      <c r="CF604" s="40"/>
      <c r="CG604" s="40"/>
      <c r="CH604" s="41"/>
      <c r="CI604" s="45"/>
      <c r="CJ604" s="45"/>
      <c r="CK604" s="45"/>
      <c r="CL604" s="45"/>
    </row>
    <row r="605" ht="15.75" customHeight="1">
      <c r="K605" s="38"/>
      <c r="R605" s="39"/>
      <c r="Y605" s="39"/>
      <c r="AF605" s="39"/>
      <c r="AM605" s="40"/>
      <c r="AT605" s="40"/>
      <c r="BA605" s="41"/>
      <c r="BH605" s="42"/>
      <c r="BO605" s="42"/>
      <c r="BP605" s="43"/>
      <c r="CB605" s="44"/>
      <c r="CC605" s="39"/>
      <c r="CD605" s="39"/>
      <c r="CE605" s="39"/>
      <c r="CF605" s="40"/>
      <c r="CG605" s="40"/>
      <c r="CH605" s="41"/>
      <c r="CI605" s="45"/>
      <c r="CJ605" s="45"/>
      <c r="CK605" s="45"/>
      <c r="CL605" s="45"/>
    </row>
    <row r="606" ht="15.75" customHeight="1">
      <c r="K606" s="38"/>
      <c r="R606" s="39"/>
      <c r="Y606" s="39"/>
      <c r="AF606" s="39"/>
      <c r="AM606" s="40"/>
      <c r="AT606" s="40"/>
      <c r="BA606" s="41"/>
      <c r="BH606" s="42"/>
      <c r="BO606" s="42"/>
      <c r="BP606" s="43"/>
      <c r="CB606" s="44"/>
      <c r="CC606" s="39"/>
      <c r="CD606" s="39"/>
      <c r="CE606" s="39"/>
      <c r="CF606" s="40"/>
      <c r="CG606" s="40"/>
      <c r="CH606" s="41"/>
      <c r="CI606" s="45"/>
      <c r="CJ606" s="45"/>
      <c r="CK606" s="45"/>
      <c r="CL606" s="45"/>
    </row>
    <row r="607" ht="15.75" customHeight="1">
      <c r="K607" s="38"/>
      <c r="R607" s="39"/>
      <c r="Y607" s="39"/>
      <c r="AF607" s="39"/>
      <c r="AM607" s="40"/>
      <c r="AT607" s="40"/>
      <c r="BA607" s="41"/>
      <c r="BH607" s="42"/>
      <c r="BO607" s="42"/>
      <c r="BP607" s="43"/>
      <c r="CB607" s="44"/>
      <c r="CC607" s="39"/>
      <c r="CD607" s="39"/>
      <c r="CE607" s="39"/>
      <c r="CF607" s="40"/>
      <c r="CG607" s="40"/>
      <c r="CH607" s="41"/>
      <c r="CI607" s="45"/>
      <c r="CJ607" s="45"/>
      <c r="CK607" s="45"/>
      <c r="CL607" s="45"/>
    </row>
    <row r="608" ht="15.75" customHeight="1">
      <c r="K608" s="38"/>
      <c r="R608" s="39"/>
      <c r="Y608" s="39"/>
      <c r="AF608" s="39"/>
      <c r="AM608" s="40"/>
      <c r="AT608" s="40"/>
      <c r="BA608" s="41"/>
      <c r="BH608" s="42"/>
      <c r="BO608" s="42"/>
      <c r="BP608" s="43"/>
      <c r="CB608" s="44"/>
      <c r="CC608" s="39"/>
      <c r="CD608" s="39"/>
      <c r="CE608" s="39"/>
      <c r="CF608" s="40"/>
      <c r="CG608" s="40"/>
      <c r="CH608" s="41"/>
      <c r="CI608" s="45"/>
      <c r="CJ608" s="45"/>
      <c r="CK608" s="45"/>
      <c r="CL608" s="45"/>
    </row>
    <row r="609" ht="15.75" customHeight="1">
      <c r="K609" s="38"/>
      <c r="R609" s="39"/>
      <c r="Y609" s="39"/>
      <c r="AF609" s="39"/>
      <c r="AM609" s="40"/>
      <c r="AT609" s="40"/>
      <c r="BA609" s="41"/>
      <c r="BH609" s="42"/>
      <c r="BO609" s="42"/>
      <c r="BP609" s="43"/>
      <c r="CB609" s="44"/>
      <c r="CC609" s="39"/>
      <c r="CD609" s="39"/>
      <c r="CE609" s="39"/>
      <c r="CF609" s="40"/>
      <c r="CG609" s="40"/>
      <c r="CH609" s="41"/>
      <c r="CI609" s="45"/>
      <c r="CJ609" s="45"/>
      <c r="CK609" s="45"/>
      <c r="CL609" s="45"/>
    </row>
    <row r="610" ht="15.75" customHeight="1">
      <c r="K610" s="38"/>
      <c r="R610" s="39"/>
      <c r="Y610" s="39"/>
      <c r="AF610" s="39"/>
      <c r="AM610" s="40"/>
      <c r="AT610" s="40"/>
      <c r="BA610" s="41"/>
      <c r="BH610" s="42"/>
      <c r="BO610" s="42"/>
      <c r="BP610" s="43"/>
      <c r="CB610" s="44"/>
      <c r="CC610" s="39"/>
      <c r="CD610" s="39"/>
      <c r="CE610" s="39"/>
      <c r="CF610" s="40"/>
      <c r="CG610" s="40"/>
      <c r="CH610" s="41"/>
      <c r="CI610" s="45"/>
      <c r="CJ610" s="45"/>
      <c r="CK610" s="45"/>
      <c r="CL610" s="45"/>
    </row>
    <row r="611" ht="15.75" customHeight="1">
      <c r="K611" s="38"/>
      <c r="R611" s="39"/>
      <c r="Y611" s="39"/>
      <c r="AF611" s="39"/>
      <c r="AM611" s="40"/>
      <c r="AT611" s="40"/>
      <c r="BA611" s="41"/>
      <c r="BH611" s="42"/>
      <c r="BO611" s="42"/>
      <c r="BP611" s="43"/>
      <c r="CB611" s="44"/>
      <c r="CC611" s="39"/>
      <c r="CD611" s="39"/>
      <c r="CE611" s="39"/>
      <c r="CF611" s="40"/>
      <c r="CG611" s="40"/>
      <c r="CH611" s="41"/>
      <c r="CI611" s="45"/>
      <c r="CJ611" s="45"/>
      <c r="CK611" s="45"/>
      <c r="CL611" s="45"/>
    </row>
    <row r="612" ht="15.75" customHeight="1">
      <c r="K612" s="38"/>
      <c r="R612" s="39"/>
      <c r="Y612" s="39"/>
      <c r="AF612" s="39"/>
      <c r="AM612" s="40"/>
      <c r="AT612" s="40"/>
      <c r="BA612" s="41"/>
      <c r="BH612" s="42"/>
      <c r="BO612" s="42"/>
      <c r="BP612" s="43"/>
      <c r="CB612" s="44"/>
      <c r="CC612" s="39"/>
      <c r="CD612" s="39"/>
      <c r="CE612" s="39"/>
      <c r="CF612" s="40"/>
      <c r="CG612" s="40"/>
      <c r="CH612" s="41"/>
      <c r="CI612" s="45"/>
      <c r="CJ612" s="45"/>
      <c r="CK612" s="45"/>
      <c r="CL612" s="45"/>
    </row>
    <row r="613" ht="15.75" customHeight="1">
      <c r="K613" s="38"/>
      <c r="R613" s="39"/>
      <c r="Y613" s="39"/>
      <c r="AF613" s="39"/>
      <c r="AM613" s="40"/>
      <c r="AT613" s="40"/>
      <c r="BA613" s="41"/>
      <c r="BH613" s="42"/>
      <c r="BO613" s="42"/>
      <c r="BP613" s="43"/>
      <c r="CB613" s="44"/>
      <c r="CC613" s="39"/>
      <c r="CD613" s="39"/>
      <c r="CE613" s="39"/>
      <c r="CF613" s="40"/>
      <c r="CG613" s="40"/>
      <c r="CH613" s="41"/>
      <c r="CI613" s="45"/>
      <c r="CJ613" s="45"/>
      <c r="CK613" s="45"/>
      <c r="CL613" s="45"/>
    </row>
    <row r="614" ht="15.75" customHeight="1">
      <c r="K614" s="38"/>
      <c r="R614" s="39"/>
      <c r="Y614" s="39"/>
      <c r="AF614" s="39"/>
      <c r="AM614" s="40"/>
      <c r="AT614" s="40"/>
      <c r="BA614" s="41"/>
      <c r="BH614" s="42"/>
      <c r="BO614" s="42"/>
      <c r="BP614" s="43"/>
      <c r="CB614" s="44"/>
      <c r="CC614" s="39"/>
      <c r="CD614" s="39"/>
      <c r="CE614" s="39"/>
      <c r="CF614" s="40"/>
      <c r="CG614" s="40"/>
      <c r="CH614" s="41"/>
      <c r="CI614" s="45"/>
      <c r="CJ614" s="45"/>
      <c r="CK614" s="45"/>
      <c r="CL614" s="45"/>
    </row>
    <row r="615" ht="15.75" customHeight="1">
      <c r="K615" s="38"/>
      <c r="R615" s="39"/>
      <c r="Y615" s="39"/>
      <c r="AF615" s="39"/>
      <c r="AM615" s="40"/>
      <c r="AT615" s="40"/>
      <c r="BA615" s="41"/>
      <c r="BH615" s="42"/>
      <c r="BO615" s="42"/>
      <c r="BP615" s="43"/>
      <c r="CB615" s="44"/>
      <c r="CC615" s="39"/>
      <c r="CD615" s="39"/>
      <c r="CE615" s="39"/>
      <c r="CF615" s="40"/>
      <c r="CG615" s="40"/>
      <c r="CH615" s="41"/>
      <c r="CI615" s="45"/>
      <c r="CJ615" s="45"/>
      <c r="CK615" s="45"/>
      <c r="CL615" s="45"/>
    </row>
    <row r="616" ht="15.75" customHeight="1">
      <c r="K616" s="38"/>
      <c r="R616" s="39"/>
      <c r="Y616" s="39"/>
      <c r="AF616" s="39"/>
      <c r="AM616" s="40"/>
      <c r="AT616" s="40"/>
      <c r="BA616" s="41"/>
      <c r="BH616" s="42"/>
      <c r="BO616" s="42"/>
      <c r="BP616" s="43"/>
      <c r="CB616" s="44"/>
      <c r="CC616" s="39"/>
      <c r="CD616" s="39"/>
      <c r="CE616" s="39"/>
      <c r="CF616" s="40"/>
      <c r="CG616" s="40"/>
      <c r="CH616" s="41"/>
      <c r="CI616" s="45"/>
      <c r="CJ616" s="45"/>
      <c r="CK616" s="45"/>
      <c r="CL616" s="45"/>
    </row>
    <row r="617" ht="15.75" customHeight="1">
      <c r="K617" s="38"/>
      <c r="R617" s="39"/>
      <c r="Y617" s="39"/>
      <c r="AF617" s="39"/>
      <c r="AM617" s="40"/>
      <c r="AT617" s="40"/>
      <c r="BA617" s="41"/>
      <c r="BH617" s="42"/>
      <c r="BO617" s="42"/>
      <c r="BP617" s="43"/>
      <c r="CB617" s="44"/>
      <c r="CC617" s="39"/>
      <c r="CD617" s="39"/>
      <c r="CE617" s="39"/>
      <c r="CF617" s="40"/>
      <c r="CG617" s="40"/>
      <c r="CH617" s="41"/>
      <c r="CI617" s="45"/>
      <c r="CJ617" s="45"/>
      <c r="CK617" s="45"/>
      <c r="CL617" s="45"/>
    </row>
    <row r="618" ht="15.75" customHeight="1">
      <c r="K618" s="38"/>
      <c r="R618" s="39"/>
      <c r="Y618" s="39"/>
      <c r="AF618" s="39"/>
      <c r="AM618" s="40"/>
      <c r="AT618" s="40"/>
      <c r="BA618" s="41"/>
      <c r="BH618" s="42"/>
      <c r="BO618" s="42"/>
      <c r="BP618" s="43"/>
      <c r="CB618" s="44"/>
      <c r="CC618" s="39"/>
      <c r="CD618" s="39"/>
      <c r="CE618" s="39"/>
      <c r="CF618" s="40"/>
      <c r="CG618" s="40"/>
      <c r="CH618" s="41"/>
      <c r="CI618" s="45"/>
      <c r="CJ618" s="45"/>
      <c r="CK618" s="45"/>
      <c r="CL618" s="45"/>
    </row>
    <row r="619" ht="15.75" customHeight="1">
      <c r="K619" s="38"/>
      <c r="R619" s="39"/>
      <c r="Y619" s="39"/>
      <c r="AF619" s="39"/>
      <c r="AM619" s="40"/>
      <c r="AT619" s="40"/>
      <c r="BA619" s="41"/>
      <c r="BH619" s="42"/>
      <c r="BO619" s="42"/>
      <c r="BP619" s="43"/>
      <c r="CB619" s="44"/>
      <c r="CC619" s="39"/>
      <c r="CD619" s="39"/>
      <c r="CE619" s="39"/>
      <c r="CF619" s="40"/>
      <c r="CG619" s="40"/>
      <c r="CH619" s="41"/>
      <c r="CI619" s="45"/>
      <c r="CJ619" s="45"/>
      <c r="CK619" s="45"/>
      <c r="CL619" s="45"/>
    </row>
    <row r="620" ht="15.75" customHeight="1">
      <c r="K620" s="38"/>
      <c r="R620" s="39"/>
      <c r="Y620" s="39"/>
      <c r="AF620" s="39"/>
      <c r="AM620" s="40"/>
      <c r="AT620" s="40"/>
      <c r="BA620" s="41"/>
      <c r="BH620" s="42"/>
      <c r="BO620" s="42"/>
      <c r="BP620" s="43"/>
      <c r="CB620" s="44"/>
      <c r="CC620" s="39"/>
      <c r="CD620" s="39"/>
      <c r="CE620" s="39"/>
      <c r="CF620" s="40"/>
      <c r="CG620" s="40"/>
      <c r="CH620" s="41"/>
      <c r="CI620" s="45"/>
      <c r="CJ620" s="45"/>
      <c r="CK620" s="45"/>
      <c r="CL620" s="45"/>
    </row>
    <row r="621" ht="15.75" customHeight="1">
      <c r="K621" s="38"/>
      <c r="R621" s="39"/>
      <c r="Y621" s="39"/>
      <c r="AF621" s="39"/>
      <c r="AM621" s="40"/>
      <c r="AT621" s="40"/>
      <c r="BA621" s="41"/>
      <c r="BH621" s="42"/>
      <c r="BO621" s="42"/>
      <c r="BP621" s="43"/>
      <c r="CB621" s="44"/>
      <c r="CC621" s="39"/>
      <c r="CD621" s="39"/>
      <c r="CE621" s="39"/>
      <c r="CF621" s="40"/>
      <c r="CG621" s="40"/>
      <c r="CH621" s="41"/>
      <c r="CI621" s="45"/>
      <c r="CJ621" s="45"/>
      <c r="CK621" s="45"/>
      <c r="CL621" s="45"/>
    </row>
    <row r="622" ht="15.75" customHeight="1">
      <c r="K622" s="38"/>
      <c r="R622" s="39"/>
      <c r="Y622" s="39"/>
      <c r="AF622" s="39"/>
      <c r="AM622" s="40"/>
      <c r="AT622" s="40"/>
      <c r="BA622" s="41"/>
      <c r="BH622" s="42"/>
      <c r="BO622" s="42"/>
      <c r="BP622" s="43"/>
      <c r="CB622" s="44"/>
      <c r="CC622" s="39"/>
      <c r="CD622" s="39"/>
      <c r="CE622" s="39"/>
      <c r="CF622" s="40"/>
      <c r="CG622" s="40"/>
      <c r="CH622" s="41"/>
      <c r="CI622" s="45"/>
      <c r="CJ622" s="45"/>
      <c r="CK622" s="45"/>
      <c r="CL622" s="45"/>
    </row>
    <row r="623" ht="15.75" customHeight="1">
      <c r="K623" s="38"/>
      <c r="R623" s="39"/>
      <c r="Y623" s="39"/>
      <c r="AF623" s="39"/>
      <c r="AM623" s="40"/>
      <c r="AT623" s="40"/>
      <c r="BA623" s="41"/>
      <c r="BH623" s="42"/>
      <c r="BO623" s="42"/>
      <c r="BP623" s="43"/>
      <c r="CB623" s="44"/>
      <c r="CC623" s="39"/>
      <c r="CD623" s="39"/>
      <c r="CE623" s="39"/>
      <c r="CF623" s="40"/>
      <c r="CG623" s="40"/>
      <c r="CH623" s="41"/>
      <c r="CI623" s="45"/>
      <c r="CJ623" s="45"/>
      <c r="CK623" s="45"/>
      <c r="CL623" s="45"/>
    </row>
    <row r="624" ht="15.75" customHeight="1">
      <c r="K624" s="38"/>
      <c r="R624" s="39"/>
      <c r="Y624" s="39"/>
      <c r="AF624" s="39"/>
      <c r="AM624" s="40"/>
      <c r="AT624" s="40"/>
      <c r="BA624" s="41"/>
      <c r="BH624" s="42"/>
      <c r="BO624" s="42"/>
      <c r="BP624" s="43"/>
      <c r="CB624" s="44"/>
      <c r="CC624" s="39"/>
      <c r="CD624" s="39"/>
      <c r="CE624" s="39"/>
      <c r="CF624" s="40"/>
      <c r="CG624" s="40"/>
      <c r="CH624" s="41"/>
      <c r="CI624" s="45"/>
      <c r="CJ624" s="45"/>
      <c r="CK624" s="45"/>
      <c r="CL624" s="45"/>
    </row>
    <row r="625" ht="15.75" customHeight="1">
      <c r="K625" s="38"/>
      <c r="R625" s="39"/>
      <c r="Y625" s="39"/>
      <c r="AF625" s="39"/>
      <c r="AM625" s="40"/>
      <c r="AT625" s="40"/>
      <c r="BA625" s="41"/>
      <c r="BH625" s="42"/>
      <c r="BO625" s="42"/>
      <c r="BP625" s="43"/>
      <c r="CB625" s="44"/>
      <c r="CC625" s="39"/>
      <c r="CD625" s="39"/>
      <c r="CE625" s="39"/>
      <c r="CF625" s="40"/>
      <c r="CG625" s="40"/>
      <c r="CH625" s="41"/>
      <c r="CI625" s="45"/>
      <c r="CJ625" s="45"/>
      <c r="CK625" s="45"/>
      <c r="CL625" s="45"/>
    </row>
    <row r="626" ht="15.75" customHeight="1">
      <c r="K626" s="38"/>
      <c r="R626" s="39"/>
      <c r="Y626" s="39"/>
      <c r="AF626" s="39"/>
      <c r="AM626" s="40"/>
      <c r="AT626" s="40"/>
      <c r="BA626" s="41"/>
      <c r="BH626" s="42"/>
      <c r="BO626" s="42"/>
      <c r="BP626" s="43"/>
      <c r="CB626" s="44"/>
      <c r="CC626" s="39"/>
      <c r="CD626" s="39"/>
      <c r="CE626" s="39"/>
      <c r="CF626" s="40"/>
      <c r="CG626" s="40"/>
      <c r="CH626" s="41"/>
      <c r="CI626" s="45"/>
      <c r="CJ626" s="45"/>
      <c r="CK626" s="45"/>
      <c r="CL626" s="45"/>
    </row>
    <row r="627" ht="15.75" customHeight="1">
      <c r="K627" s="38"/>
      <c r="R627" s="39"/>
      <c r="Y627" s="39"/>
      <c r="AF627" s="39"/>
      <c r="AM627" s="40"/>
      <c r="AT627" s="40"/>
      <c r="BA627" s="41"/>
      <c r="BH627" s="42"/>
      <c r="BO627" s="42"/>
      <c r="BP627" s="43"/>
      <c r="CB627" s="44"/>
      <c r="CC627" s="39"/>
      <c r="CD627" s="39"/>
      <c r="CE627" s="39"/>
      <c r="CF627" s="40"/>
      <c r="CG627" s="40"/>
      <c r="CH627" s="41"/>
      <c r="CI627" s="45"/>
      <c r="CJ627" s="45"/>
      <c r="CK627" s="45"/>
      <c r="CL627" s="45"/>
    </row>
    <row r="628" ht="15.75" customHeight="1">
      <c r="K628" s="38"/>
      <c r="R628" s="39"/>
      <c r="Y628" s="39"/>
      <c r="AF628" s="39"/>
      <c r="AM628" s="40"/>
      <c r="AT628" s="40"/>
      <c r="BA628" s="41"/>
      <c r="BH628" s="42"/>
      <c r="BO628" s="42"/>
      <c r="BP628" s="43"/>
      <c r="CB628" s="44"/>
      <c r="CC628" s="39"/>
      <c r="CD628" s="39"/>
      <c r="CE628" s="39"/>
      <c r="CF628" s="40"/>
      <c r="CG628" s="40"/>
      <c r="CH628" s="41"/>
      <c r="CI628" s="45"/>
      <c r="CJ628" s="45"/>
      <c r="CK628" s="45"/>
      <c r="CL628" s="45"/>
    </row>
    <row r="629" ht="15.75" customHeight="1">
      <c r="K629" s="38"/>
      <c r="R629" s="39"/>
      <c r="Y629" s="39"/>
      <c r="AF629" s="39"/>
      <c r="AM629" s="40"/>
      <c r="AT629" s="40"/>
      <c r="BA629" s="41"/>
      <c r="BH629" s="42"/>
      <c r="BO629" s="42"/>
      <c r="BP629" s="43"/>
      <c r="CB629" s="44"/>
      <c r="CC629" s="39"/>
      <c r="CD629" s="39"/>
      <c r="CE629" s="39"/>
      <c r="CF629" s="40"/>
      <c r="CG629" s="40"/>
      <c r="CH629" s="41"/>
      <c r="CI629" s="45"/>
      <c r="CJ629" s="45"/>
      <c r="CK629" s="45"/>
      <c r="CL629" s="45"/>
    </row>
    <row r="630" ht="15.75" customHeight="1">
      <c r="K630" s="38"/>
      <c r="R630" s="39"/>
      <c r="Y630" s="39"/>
      <c r="AF630" s="39"/>
      <c r="AM630" s="40"/>
      <c r="AT630" s="40"/>
      <c r="BA630" s="41"/>
      <c r="BH630" s="42"/>
      <c r="BO630" s="42"/>
      <c r="BP630" s="43"/>
      <c r="CB630" s="44"/>
      <c r="CC630" s="39"/>
      <c r="CD630" s="39"/>
      <c r="CE630" s="39"/>
      <c r="CF630" s="40"/>
      <c r="CG630" s="40"/>
      <c r="CH630" s="41"/>
      <c r="CI630" s="45"/>
      <c r="CJ630" s="45"/>
      <c r="CK630" s="45"/>
      <c r="CL630" s="45"/>
    </row>
    <row r="631" ht="15.75" customHeight="1">
      <c r="K631" s="38"/>
      <c r="R631" s="39"/>
      <c r="Y631" s="39"/>
      <c r="AF631" s="39"/>
      <c r="AM631" s="40"/>
      <c r="AT631" s="40"/>
      <c r="BA631" s="41"/>
      <c r="BH631" s="42"/>
      <c r="BO631" s="42"/>
      <c r="BP631" s="43"/>
      <c r="CB631" s="44"/>
      <c r="CC631" s="39"/>
      <c r="CD631" s="39"/>
      <c r="CE631" s="39"/>
      <c r="CF631" s="40"/>
      <c r="CG631" s="40"/>
      <c r="CH631" s="41"/>
      <c r="CI631" s="45"/>
      <c r="CJ631" s="45"/>
      <c r="CK631" s="45"/>
      <c r="CL631" s="45"/>
    </row>
    <row r="632" ht="15.75" customHeight="1">
      <c r="K632" s="38"/>
      <c r="R632" s="39"/>
      <c r="Y632" s="39"/>
      <c r="AF632" s="39"/>
      <c r="AM632" s="40"/>
      <c r="AT632" s="40"/>
      <c r="BA632" s="41"/>
      <c r="BH632" s="42"/>
      <c r="BO632" s="42"/>
      <c r="BP632" s="43"/>
      <c r="CB632" s="44"/>
      <c r="CC632" s="39"/>
      <c r="CD632" s="39"/>
      <c r="CE632" s="39"/>
      <c r="CF632" s="40"/>
      <c r="CG632" s="40"/>
      <c r="CH632" s="41"/>
      <c r="CI632" s="45"/>
      <c r="CJ632" s="45"/>
      <c r="CK632" s="45"/>
      <c r="CL632" s="45"/>
    </row>
    <row r="633" ht="15.75" customHeight="1">
      <c r="K633" s="38"/>
      <c r="R633" s="39"/>
      <c r="Y633" s="39"/>
      <c r="AF633" s="39"/>
      <c r="AM633" s="40"/>
      <c r="AT633" s="40"/>
      <c r="BA633" s="41"/>
      <c r="BH633" s="42"/>
      <c r="BO633" s="42"/>
      <c r="BP633" s="43"/>
      <c r="CB633" s="44"/>
      <c r="CC633" s="39"/>
      <c r="CD633" s="39"/>
      <c r="CE633" s="39"/>
      <c r="CF633" s="40"/>
      <c r="CG633" s="40"/>
      <c r="CH633" s="41"/>
      <c r="CI633" s="45"/>
      <c r="CJ633" s="45"/>
      <c r="CK633" s="45"/>
      <c r="CL633" s="45"/>
    </row>
    <row r="634" ht="15.75" customHeight="1">
      <c r="K634" s="38"/>
      <c r="R634" s="39"/>
      <c r="Y634" s="39"/>
      <c r="AF634" s="39"/>
      <c r="AM634" s="40"/>
      <c r="AT634" s="40"/>
      <c r="BA634" s="41"/>
      <c r="BH634" s="42"/>
      <c r="BO634" s="42"/>
      <c r="BP634" s="43"/>
      <c r="CB634" s="44"/>
      <c r="CC634" s="39"/>
      <c r="CD634" s="39"/>
      <c r="CE634" s="39"/>
      <c r="CF634" s="40"/>
      <c r="CG634" s="40"/>
      <c r="CH634" s="41"/>
      <c r="CI634" s="45"/>
      <c r="CJ634" s="45"/>
      <c r="CK634" s="45"/>
      <c r="CL634" s="45"/>
    </row>
    <row r="635" ht="15.75" customHeight="1">
      <c r="K635" s="38"/>
      <c r="R635" s="39"/>
      <c r="Y635" s="39"/>
      <c r="AF635" s="39"/>
      <c r="AM635" s="40"/>
      <c r="AT635" s="40"/>
      <c r="BA635" s="41"/>
      <c r="BH635" s="42"/>
      <c r="BO635" s="42"/>
      <c r="BP635" s="43"/>
      <c r="CB635" s="44"/>
      <c r="CC635" s="39"/>
      <c r="CD635" s="39"/>
      <c r="CE635" s="39"/>
      <c r="CF635" s="40"/>
      <c r="CG635" s="40"/>
      <c r="CH635" s="41"/>
      <c r="CI635" s="45"/>
      <c r="CJ635" s="45"/>
      <c r="CK635" s="45"/>
      <c r="CL635" s="45"/>
    </row>
    <row r="636" ht="15.75" customHeight="1">
      <c r="K636" s="38"/>
      <c r="R636" s="39"/>
      <c r="Y636" s="39"/>
      <c r="AF636" s="39"/>
      <c r="AM636" s="40"/>
      <c r="AT636" s="40"/>
      <c r="BA636" s="41"/>
      <c r="BH636" s="42"/>
      <c r="BO636" s="42"/>
      <c r="BP636" s="43"/>
      <c r="CB636" s="44"/>
      <c r="CC636" s="39"/>
      <c r="CD636" s="39"/>
      <c r="CE636" s="39"/>
      <c r="CF636" s="40"/>
      <c r="CG636" s="40"/>
      <c r="CH636" s="41"/>
      <c r="CI636" s="45"/>
      <c r="CJ636" s="45"/>
      <c r="CK636" s="45"/>
      <c r="CL636" s="45"/>
    </row>
    <row r="637" ht="15.75" customHeight="1">
      <c r="K637" s="38"/>
      <c r="R637" s="39"/>
      <c r="Y637" s="39"/>
      <c r="AF637" s="39"/>
      <c r="AM637" s="40"/>
      <c r="AT637" s="40"/>
      <c r="BA637" s="41"/>
      <c r="BH637" s="42"/>
      <c r="BO637" s="42"/>
      <c r="BP637" s="43"/>
      <c r="CB637" s="44"/>
      <c r="CC637" s="39"/>
      <c r="CD637" s="39"/>
      <c r="CE637" s="39"/>
      <c r="CF637" s="40"/>
      <c r="CG637" s="40"/>
      <c r="CH637" s="41"/>
      <c r="CI637" s="45"/>
      <c r="CJ637" s="45"/>
      <c r="CK637" s="45"/>
      <c r="CL637" s="45"/>
    </row>
    <row r="638" ht="15.75" customHeight="1">
      <c r="K638" s="38"/>
      <c r="R638" s="39"/>
      <c r="Y638" s="39"/>
      <c r="AF638" s="39"/>
      <c r="AM638" s="40"/>
      <c r="AT638" s="40"/>
      <c r="BA638" s="41"/>
      <c r="BH638" s="42"/>
      <c r="BO638" s="42"/>
      <c r="BP638" s="43"/>
      <c r="CB638" s="44"/>
      <c r="CC638" s="39"/>
      <c r="CD638" s="39"/>
      <c r="CE638" s="39"/>
      <c r="CF638" s="40"/>
      <c r="CG638" s="40"/>
      <c r="CH638" s="41"/>
      <c r="CI638" s="45"/>
      <c r="CJ638" s="45"/>
      <c r="CK638" s="45"/>
      <c r="CL638" s="45"/>
    </row>
    <row r="639" ht="15.75" customHeight="1">
      <c r="K639" s="38"/>
      <c r="R639" s="39"/>
      <c r="Y639" s="39"/>
      <c r="AF639" s="39"/>
      <c r="AM639" s="40"/>
      <c r="AT639" s="40"/>
      <c r="BA639" s="41"/>
      <c r="BH639" s="42"/>
      <c r="BO639" s="42"/>
      <c r="BP639" s="43"/>
      <c r="CB639" s="44"/>
      <c r="CC639" s="39"/>
      <c r="CD639" s="39"/>
      <c r="CE639" s="39"/>
      <c r="CF639" s="40"/>
      <c r="CG639" s="40"/>
      <c r="CH639" s="41"/>
      <c r="CI639" s="45"/>
      <c r="CJ639" s="45"/>
      <c r="CK639" s="45"/>
      <c r="CL639" s="45"/>
    </row>
    <row r="640" ht="15.75" customHeight="1">
      <c r="K640" s="38"/>
      <c r="R640" s="39"/>
      <c r="Y640" s="39"/>
      <c r="AF640" s="39"/>
      <c r="AM640" s="40"/>
      <c r="AT640" s="40"/>
      <c r="BA640" s="41"/>
      <c r="BH640" s="42"/>
      <c r="BO640" s="42"/>
      <c r="BP640" s="43"/>
      <c r="CB640" s="44"/>
      <c r="CC640" s="39"/>
      <c r="CD640" s="39"/>
      <c r="CE640" s="39"/>
      <c r="CF640" s="40"/>
      <c r="CG640" s="40"/>
      <c r="CH640" s="41"/>
      <c r="CI640" s="45"/>
      <c r="CJ640" s="45"/>
      <c r="CK640" s="45"/>
      <c r="CL640" s="45"/>
    </row>
    <row r="641" ht="15.75" customHeight="1">
      <c r="K641" s="38"/>
      <c r="R641" s="39"/>
      <c r="Y641" s="39"/>
      <c r="AF641" s="39"/>
      <c r="AM641" s="40"/>
      <c r="AT641" s="40"/>
      <c r="BA641" s="41"/>
      <c r="BH641" s="42"/>
      <c r="BO641" s="42"/>
      <c r="BP641" s="43"/>
      <c r="CB641" s="44"/>
      <c r="CC641" s="39"/>
      <c r="CD641" s="39"/>
      <c r="CE641" s="39"/>
      <c r="CF641" s="40"/>
      <c r="CG641" s="40"/>
      <c r="CH641" s="41"/>
      <c r="CI641" s="45"/>
      <c r="CJ641" s="45"/>
      <c r="CK641" s="45"/>
      <c r="CL641" s="45"/>
    </row>
    <row r="642" ht="15.75" customHeight="1">
      <c r="K642" s="38"/>
      <c r="R642" s="39"/>
      <c r="Y642" s="39"/>
      <c r="AF642" s="39"/>
      <c r="AM642" s="40"/>
      <c r="AT642" s="40"/>
      <c r="BA642" s="41"/>
      <c r="BH642" s="42"/>
      <c r="BO642" s="42"/>
      <c r="BP642" s="43"/>
      <c r="CB642" s="44"/>
      <c r="CC642" s="39"/>
      <c r="CD642" s="39"/>
      <c r="CE642" s="39"/>
      <c r="CF642" s="40"/>
      <c r="CG642" s="40"/>
      <c r="CH642" s="41"/>
      <c r="CI642" s="45"/>
      <c r="CJ642" s="45"/>
      <c r="CK642" s="45"/>
      <c r="CL642" s="45"/>
    </row>
    <row r="643" ht="15.75" customHeight="1">
      <c r="K643" s="38"/>
      <c r="R643" s="39"/>
      <c r="Y643" s="39"/>
      <c r="AF643" s="39"/>
      <c r="AM643" s="40"/>
      <c r="AT643" s="40"/>
      <c r="BA643" s="41"/>
      <c r="BH643" s="42"/>
      <c r="BO643" s="42"/>
      <c r="BP643" s="43"/>
      <c r="CB643" s="44"/>
      <c r="CC643" s="39"/>
      <c r="CD643" s="39"/>
      <c r="CE643" s="39"/>
      <c r="CF643" s="40"/>
      <c r="CG643" s="40"/>
      <c r="CH643" s="41"/>
      <c r="CI643" s="45"/>
      <c r="CJ643" s="45"/>
      <c r="CK643" s="45"/>
      <c r="CL643" s="45"/>
    </row>
    <row r="644" ht="15.75" customHeight="1">
      <c r="K644" s="38"/>
      <c r="R644" s="39"/>
      <c r="Y644" s="39"/>
      <c r="AF644" s="39"/>
      <c r="AM644" s="40"/>
      <c r="AT644" s="40"/>
      <c r="BA644" s="41"/>
      <c r="BH644" s="42"/>
      <c r="BO644" s="42"/>
      <c r="BP644" s="43"/>
      <c r="CB644" s="44"/>
      <c r="CC644" s="39"/>
      <c r="CD644" s="39"/>
      <c r="CE644" s="39"/>
      <c r="CF644" s="40"/>
      <c r="CG644" s="40"/>
      <c r="CH644" s="41"/>
      <c r="CI644" s="45"/>
      <c r="CJ644" s="45"/>
      <c r="CK644" s="45"/>
      <c r="CL644" s="45"/>
    </row>
    <row r="645" ht="15.75" customHeight="1">
      <c r="K645" s="38"/>
      <c r="R645" s="39"/>
      <c r="Y645" s="39"/>
      <c r="AF645" s="39"/>
      <c r="AM645" s="40"/>
      <c r="AT645" s="40"/>
      <c r="BA645" s="41"/>
      <c r="BH645" s="42"/>
      <c r="BO645" s="42"/>
      <c r="BP645" s="43"/>
      <c r="CB645" s="44"/>
      <c r="CC645" s="39"/>
      <c r="CD645" s="39"/>
      <c r="CE645" s="39"/>
      <c r="CF645" s="40"/>
      <c r="CG645" s="40"/>
      <c r="CH645" s="41"/>
      <c r="CI645" s="45"/>
      <c r="CJ645" s="45"/>
      <c r="CK645" s="45"/>
      <c r="CL645" s="45"/>
    </row>
    <row r="646" ht="15.75" customHeight="1">
      <c r="K646" s="38"/>
      <c r="R646" s="39"/>
      <c r="Y646" s="39"/>
      <c r="AF646" s="39"/>
      <c r="AM646" s="40"/>
      <c r="AT646" s="40"/>
      <c r="BA646" s="41"/>
      <c r="BH646" s="42"/>
      <c r="BO646" s="42"/>
      <c r="BP646" s="43"/>
      <c r="CB646" s="44"/>
      <c r="CC646" s="39"/>
      <c r="CD646" s="39"/>
      <c r="CE646" s="39"/>
      <c r="CF646" s="40"/>
      <c r="CG646" s="40"/>
      <c r="CH646" s="41"/>
      <c r="CI646" s="45"/>
      <c r="CJ646" s="45"/>
      <c r="CK646" s="45"/>
      <c r="CL646" s="45"/>
    </row>
    <row r="647" ht="15.75" customHeight="1">
      <c r="K647" s="38"/>
      <c r="R647" s="39"/>
      <c r="Y647" s="39"/>
      <c r="AF647" s="39"/>
      <c r="AM647" s="40"/>
      <c r="AT647" s="40"/>
      <c r="BA647" s="41"/>
      <c r="BH647" s="42"/>
      <c r="BO647" s="42"/>
      <c r="BP647" s="43"/>
      <c r="CB647" s="44"/>
      <c r="CC647" s="39"/>
      <c r="CD647" s="39"/>
      <c r="CE647" s="39"/>
      <c r="CF647" s="40"/>
      <c r="CG647" s="40"/>
      <c r="CH647" s="41"/>
      <c r="CI647" s="45"/>
      <c r="CJ647" s="45"/>
      <c r="CK647" s="45"/>
      <c r="CL647" s="45"/>
    </row>
    <row r="648" ht="15.75" customHeight="1">
      <c r="K648" s="38"/>
      <c r="R648" s="39"/>
      <c r="Y648" s="39"/>
      <c r="AF648" s="39"/>
      <c r="AM648" s="40"/>
      <c r="AT648" s="40"/>
      <c r="BA648" s="41"/>
      <c r="BH648" s="42"/>
      <c r="BO648" s="42"/>
      <c r="BP648" s="43"/>
      <c r="CB648" s="44"/>
      <c r="CC648" s="39"/>
      <c r="CD648" s="39"/>
      <c r="CE648" s="39"/>
      <c r="CF648" s="40"/>
      <c r="CG648" s="40"/>
      <c r="CH648" s="41"/>
      <c r="CI648" s="45"/>
      <c r="CJ648" s="45"/>
      <c r="CK648" s="45"/>
      <c r="CL648" s="45"/>
    </row>
    <row r="649" ht="15.75" customHeight="1">
      <c r="K649" s="38"/>
      <c r="R649" s="39"/>
      <c r="Y649" s="39"/>
      <c r="AF649" s="39"/>
      <c r="AM649" s="40"/>
      <c r="AT649" s="40"/>
      <c r="BA649" s="41"/>
      <c r="BH649" s="42"/>
      <c r="BO649" s="42"/>
      <c r="BP649" s="43"/>
      <c r="CB649" s="44"/>
      <c r="CC649" s="39"/>
      <c r="CD649" s="39"/>
      <c r="CE649" s="39"/>
      <c r="CF649" s="40"/>
      <c r="CG649" s="40"/>
      <c r="CH649" s="41"/>
      <c r="CI649" s="45"/>
      <c r="CJ649" s="45"/>
      <c r="CK649" s="45"/>
      <c r="CL649" s="45"/>
    </row>
    <row r="650" ht="15.75" customHeight="1">
      <c r="K650" s="38"/>
      <c r="R650" s="39"/>
      <c r="Y650" s="39"/>
      <c r="AF650" s="39"/>
      <c r="AM650" s="40"/>
      <c r="AT650" s="40"/>
      <c r="BA650" s="41"/>
      <c r="BH650" s="42"/>
      <c r="BO650" s="42"/>
      <c r="BP650" s="43"/>
      <c r="CB650" s="44"/>
      <c r="CC650" s="39"/>
      <c r="CD650" s="39"/>
      <c r="CE650" s="39"/>
      <c r="CF650" s="40"/>
      <c r="CG650" s="40"/>
      <c r="CH650" s="41"/>
      <c r="CI650" s="45"/>
      <c r="CJ650" s="45"/>
      <c r="CK650" s="45"/>
      <c r="CL650" s="45"/>
    </row>
    <row r="651" ht="15.75" customHeight="1">
      <c r="K651" s="38"/>
      <c r="R651" s="39"/>
      <c r="Y651" s="39"/>
      <c r="AF651" s="39"/>
      <c r="AM651" s="40"/>
      <c r="AT651" s="40"/>
      <c r="BA651" s="41"/>
      <c r="BH651" s="42"/>
      <c r="BO651" s="42"/>
      <c r="BP651" s="43"/>
      <c r="CB651" s="44"/>
      <c r="CC651" s="39"/>
      <c r="CD651" s="39"/>
      <c r="CE651" s="39"/>
      <c r="CF651" s="40"/>
      <c r="CG651" s="40"/>
      <c r="CH651" s="41"/>
      <c r="CI651" s="45"/>
      <c r="CJ651" s="45"/>
      <c r="CK651" s="45"/>
      <c r="CL651" s="45"/>
    </row>
    <row r="652" ht="15.75" customHeight="1">
      <c r="K652" s="38"/>
      <c r="R652" s="39"/>
      <c r="Y652" s="39"/>
      <c r="AF652" s="39"/>
      <c r="AM652" s="40"/>
      <c r="AT652" s="40"/>
      <c r="BA652" s="41"/>
      <c r="BH652" s="42"/>
      <c r="BO652" s="42"/>
      <c r="BP652" s="43"/>
      <c r="CB652" s="44"/>
      <c r="CC652" s="39"/>
      <c r="CD652" s="39"/>
      <c r="CE652" s="39"/>
      <c r="CF652" s="40"/>
      <c r="CG652" s="40"/>
      <c r="CH652" s="41"/>
      <c r="CI652" s="45"/>
      <c r="CJ652" s="45"/>
      <c r="CK652" s="45"/>
      <c r="CL652" s="45"/>
    </row>
    <row r="653" ht="15.75" customHeight="1">
      <c r="K653" s="38"/>
      <c r="R653" s="39"/>
      <c r="Y653" s="39"/>
      <c r="AF653" s="39"/>
      <c r="AM653" s="40"/>
      <c r="AT653" s="40"/>
      <c r="BA653" s="41"/>
      <c r="BH653" s="42"/>
      <c r="BO653" s="42"/>
      <c r="BP653" s="43"/>
      <c r="CB653" s="44"/>
      <c r="CC653" s="39"/>
      <c r="CD653" s="39"/>
      <c r="CE653" s="39"/>
      <c r="CF653" s="40"/>
      <c r="CG653" s="40"/>
      <c r="CH653" s="41"/>
      <c r="CI653" s="45"/>
      <c r="CJ653" s="45"/>
      <c r="CK653" s="45"/>
      <c r="CL653" s="45"/>
    </row>
    <row r="654" ht="15.75" customHeight="1">
      <c r="K654" s="38"/>
      <c r="R654" s="39"/>
      <c r="Y654" s="39"/>
      <c r="AF654" s="39"/>
      <c r="AM654" s="40"/>
      <c r="AT654" s="40"/>
      <c r="BA654" s="41"/>
      <c r="BH654" s="42"/>
      <c r="BO654" s="42"/>
      <c r="BP654" s="43"/>
      <c r="CB654" s="44"/>
      <c r="CC654" s="39"/>
      <c r="CD654" s="39"/>
      <c r="CE654" s="39"/>
      <c r="CF654" s="40"/>
      <c r="CG654" s="40"/>
      <c r="CH654" s="41"/>
      <c r="CI654" s="45"/>
      <c r="CJ654" s="45"/>
      <c r="CK654" s="45"/>
      <c r="CL654" s="45"/>
    </row>
    <row r="655" ht="15.75" customHeight="1">
      <c r="K655" s="38"/>
      <c r="R655" s="39"/>
      <c r="Y655" s="39"/>
      <c r="AF655" s="39"/>
      <c r="AM655" s="40"/>
      <c r="AT655" s="40"/>
      <c r="BA655" s="41"/>
      <c r="BH655" s="42"/>
      <c r="BO655" s="42"/>
      <c r="BP655" s="43"/>
      <c r="CB655" s="44"/>
      <c r="CC655" s="39"/>
      <c r="CD655" s="39"/>
      <c r="CE655" s="39"/>
      <c r="CF655" s="40"/>
      <c r="CG655" s="40"/>
      <c r="CH655" s="41"/>
      <c r="CI655" s="45"/>
      <c r="CJ655" s="45"/>
      <c r="CK655" s="45"/>
      <c r="CL655" s="45"/>
    </row>
    <row r="656" ht="15.75" customHeight="1">
      <c r="K656" s="38"/>
      <c r="R656" s="39"/>
      <c r="Y656" s="39"/>
      <c r="AF656" s="39"/>
      <c r="AM656" s="40"/>
      <c r="AT656" s="40"/>
      <c r="BA656" s="41"/>
      <c r="BH656" s="42"/>
      <c r="BO656" s="42"/>
      <c r="BP656" s="43"/>
      <c r="CB656" s="44"/>
      <c r="CC656" s="39"/>
      <c r="CD656" s="39"/>
      <c r="CE656" s="39"/>
      <c r="CF656" s="40"/>
      <c r="CG656" s="40"/>
      <c r="CH656" s="41"/>
      <c r="CI656" s="45"/>
      <c r="CJ656" s="45"/>
      <c r="CK656" s="45"/>
      <c r="CL656" s="45"/>
    </row>
    <row r="657" ht="15.75" customHeight="1">
      <c r="K657" s="38"/>
      <c r="R657" s="39"/>
      <c r="Y657" s="39"/>
      <c r="AF657" s="39"/>
      <c r="AM657" s="40"/>
      <c r="AT657" s="40"/>
      <c r="BA657" s="41"/>
      <c r="BH657" s="42"/>
      <c r="BO657" s="42"/>
      <c r="BP657" s="43"/>
      <c r="CB657" s="44"/>
      <c r="CC657" s="39"/>
      <c r="CD657" s="39"/>
      <c r="CE657" s="39"/>
      <c r="CF657" s="40"/>
      <c r="CG657" s="40"/>
      <c r="CH657" s="41"/>
      <c r="CI657" s="45"/>
      <c r="CJ657" s="45"/>
      <c r="CK657" s="45"/>
      <c r="CL657" s="45"/>
    </row>
    <row r="658" ht="15.75" customHeight="1">
      <c r="K658" s="38"/>
      <c r="R658" s="39"/>
      <c r="Y658" s="39"/>
      <c r="AF658" s="39"/>
      <c r="AM658" s="40"/>
      <c r="AT658" s="40"/>
      <c r="BA658" s="41"/>
      <c r="BH658" s="42"/>
      <c r="BO658" s="42"/>
      <c r="BP658" s="43"/>
      <c r="CB658" s="44"/>
      <c r="CC658" s="39"/>
      <c r="CD658" s="39"/>
      <c r="CE658" s="39"/>
      <c r="CF658" s="40"/>
      <c r="CG658" s="40"/>
      <c r="CH658" s="41"/>
      <c r="CI658" s="45"/>
      <c r="CJ658" s="45"/>
      <c r="CK658" s="45"/>
      <c r="CL658" s="45"/>
    </row>
    <row r="659" ht="15.75" customHeight="1">
      <c r="K659" s="38"/>
      <c r="R659" s="39"/>
      <c r="Y659" s="39"/>
      <c r="AF659" s="39"/>
      <c r="AM659" s="40"/>
      <c r="AT659" s="40"/>
      <c r="BA659" s="41"/>
      <c r="BH659" s="42"/>
      <c r="BO659" s="42"/>
      <c r="BP659" s="43"/>
      <c r="CB659" s="44"/>
      <c r="CC659" s="39"/>
      <c r="CD659" s="39"/>
      <c r="CE659" s="39"/>
      <c r="CF659" s="40"/>
      <c r="CG659" s="40"/>
      <c r="CH659" s="41"/>
      <c r="CI659" s="45"/>
      <c r="CJ659" s="45"/>
      <c r="CK659" s="45"/>
      <c r="CL659" s="45"/>
    </row>
    <row r="660" ht="15.75" customHeight="1">
      <c r="K660" s="38"/>
      <c r="R660" s="39"/>
      <c r="Y660" s="39"/>
      <c r="AF660" s="39"/>
      <c r="AM660" s="40"/>
      <c r="AT660" s="40"/>
      <c r="BA660" s="41"/>
      <c r="BH660" s="42"/>
      <c r="BO660" s="42"/>
      <c r="BP660" s="43"/>
      <c r="CB660" s="44"/>
      <c r="CC660" s="39"/>
      <c r="CD660" s="39"/>
      <c r="CE660" s="39"/>
      <c r="CF660" s="40"/>
      <c r="CG660" s="40"/>
      <c r="CH660" s="41"/>
      <c r="CI660" s="45"/>
      <c r="CJ660" s="45"/>
      <c r="CK660" s="45"/>
      <c r="CL660" s="45"/>
    </row>
    <row r="661" ht="15.75" customHeight="1">
      <c r="K661" s="38"/>
      <c r="R661" s="39"/>
      <c r="Y661" s="39"/>
      <c r="AF661" s="39"/>
      <c r="AM661" s="40"/>
      <c r="AT661" s="40"/>
      <c r="BA661" s="41"/>
      <c r="BH661" s="42"/>
      <c r="BO661" s="42"/>
      <c r="BP661" s="43"/>
      <c r="CB661" s="44"/>
      <c r="CC661" s="39"/>
      <c r="CD661" s="39"/>
      <c r="CE661" s="39"/>
      <c r="CF661" s="40"/>
      <c r="CG661" s="40"/>
      <c r="CH661" s="41"/>
      <c r="CI661" s="45"/>
      <c r="CJ661" s="45"/>
      <c r="CK661" s="45"/>
      <c r="CL661" s="45"/>
    </row>
    <row r="662" ht="15.75" customHeight="1">
      <c r="K662" s="38"/>
      <c r="R662" s="39"/>
      <c r="Y662" s="39"/>
      <c r="AF662" s="39"/>
      <c r="AM662" s="40"/>
      <c r="AT662" s="40"/>
      <c r="BA662" s="41"/>
      <c r="BH662" s="42"/>
      <c r="BO662" s="42"/>
      <c r="BP662" s="43"/>
      <c r="CB662" s="44"/>
      <c r="CC662" s="39"/>
      <c r="CD662" s="39"/>
      <c r="CE662" s="39"/>
      <c r="CF662" s="40"/>
      <c r="CG662" s="40"/>
      <c r="CH662" s="41"/>
      <c r="CI662" s="45"/>
      <c r="CJ662" s="45"/>
      <c r="CK662" s="45"/>
      <c r="CL662" s="45"/>
    </row>
    <row r="663" ht="15.75" customHeight="1">
      <c r="K663" s="38"/>
      <c r="R663" s="39"/>
      <c r="Y663" s="39"/>
      <c r="AF663" s="39"/>
      <c r="AM663" s="40"/>
      <c r="AT663" s="40"/>
      <c r="BA663" s="41"/>
      <c r="BH663" s="42"/>
      <c r="BO663" s="42"/>
      <c r="BP663" s="43"/>
      <c r="CB663" s="44"/>
      <c r="CC663" s="39"/>
      <c r="CD663" s="39"/>
      <c r="CE663" s="39"/>
      <c r="CF663" s="40"/>
      <c r="CG663" s="40"/>
      <c r="CH663" s="41"/>
      <c r="CI663" s="45"/>
      <c r="CJ663" s="45"/>
      <c r="CK663" s="45"/>
      <c r="CL663" s="45"/>
    </row>
    <row r="664" ht="15.75" customHeight="1">
      <c r="K664" s="38"/>
      <c r="R664" s="39"/>
      <c r="Y664" s="39"/>
      <c r="AF664" s="39"/>
      <c r="AM664" s="40"/>
      <c r="AT664" s="40"/>
      <c r="BA664" s="41"/>
      <c r="BH664" s="42"/>
      <c r="BO664" s="42"/>
      <c r="BP664" s="43"/>
      <c r="CB664" s="44"/>
      <c r="CC664" s="39"/>
      <c r="CD664" s="39"/>
      <c r="CE664" s="39"/>
      <c r="CF664" s="40"/>
      <c r="CG664" s="40"/>
      <c r="CH664" s="41"/>
      <c r="CI664" s="45"/>
      <c r="CJ664" s="45"/>
      <c r="CK664" s="45"/>
      <c r="CL664" s="45"/>
    </row>
    <row r="665" ht="15.75" customHeight="1">
      <c r="K665" s="38"/>
      <c r="R665" s="39"/>
      <c r="Y665" s="39"/>
      <c r="AF665" s="39"/>
      <c r="AM665" s="40"/>
      <c r="AT665" s="40"/>
      <c r="BA665" s="41"/>
      <c r="BH665" s="42"/>
      <c r="BO665" s="42"/>
      <c r="BP665" s="43"/>
      <c r="CB665" s="44"/>
      <c r="CC665" s="39"/>
      <c r="CD665" s="39"/>
      <c r="CE665" s="39"/>
      <c r="CF665" s="40"/>
      <c r="CG665" s="40"/>
      <c r="CH665" s="41"/>
      <c r="CI665" s="45"/>
      <c r="CJ665" s="45"/>
      <c r="CK665" s="45"/>
      <c r="CL665" s="45"/>
    </row>
    <row r="666" ht="15.75" customHeight="1">
      <c r="K666" s="38"/>
      <c r="R666" s="39"/>
      <c r="Y666" s="39"/>
      <c r="AF666" s="39"/>
      <c r="AM666" s="40"/>
      <c r="AT666" s="40"/>
      <c r="BA666" s="41"/>
      <c r="BH666" s="42"/>
      <c r="BO666" s="42"/>
      <c r="BP666" s="43"/>
      <c r="CB666" s="44"/>
      <c r="CC666" s="39"/>
      <c r="CD666" s="39"/>
      <c r="CE666" s="39"/>
      <c r="CF666" s="40"/>
      <c r="CG666" s="40"/>
      <c r="CH666" s="41"/>
      <c r="CI666" s="45"/>
      <c r="CJ666" s="45"/>
      <c r="CK666" s="45"/>
      <c r="CL666" s="45"/>
    </row>
    <row r="667" ht="15.75" customHeight="1">
      <c r="K667" s="38"/>
      <c r="R667" s="39"/>
      <c r="Y667" s="39"/>
      <c r="AF667" s="39"/>
      <c r="AM667" s="40"/>
      <c r="AT667" s="40"/>
      <c r="BA667" s="41"/>
      <c r="BH667" s="42"/>
      <c r="BO667" s="42"/>
      <c r="BP667" s="43"/>
      <c r="CB667" s="44"/>
      <c r="CC667" s="39"/>
      <c r="CD667" s="39"/>
      <c r="CE667" s="39"/>
      <c r="CF667" s="40"/>
      <c r="CG667" s="40"/>
      <c r="CH667" s="41"/>
      <c r="CI667" s="45"/>
      <c r="CJ667" s="45"/>
      <c r="CK667" s="45"/>
      <c r="CL667" s="45"/>
    </row>
    <row r="668" ht="15.75" customHeight="1">
      <c r="K668" s="38"/>
      <c r="R668" s="39"/>
      <c r="Y668" s="39"/>
      <c r="AF668" s="39"/>
      <c r="AM668" s="40"/>
      <c r="AT668" s="40"/>
      <c r="BA668" s="41"/>
      <c r="BH668" s="42"/>
      <c r="BO668" s="42"/>
      <c r="BP668" s="43"/>
      <c r="CB668" s="44"/>
      <c r="CC668" s="39"/>
      <c r="CD668" s="39"/>
      <c r="CE668" s="39"/>
      <c r="CF668" s="40"/>
      <c r="CG668" s="40"/>
      <c r="CH668" s="41"/>
      <c r="CI668" s="45"/>
      <c r="CJ668" s="45"/>
      <c r="CK668" s="45"/>
      <c r="CL668" s="45"/>
    </row>
    <row r="669" ht="15.75" customHeight="1">
      <c r="K669" s="38"/>
      <c r="R669" s="39"/>
      <c r="Y669" s="39"/>
      <c r="AF669" s="39"/>
      <c r="AM669" s="40"/>
      <c r="AT669" s="40"/>
      <c r="BA669" s="41"/>
      <c r="BH669" s="42"/>
      <c r="BO669" s="42"/>
      <c r="BP669" s="43"/>
      <c r="CB669" s="44"/>
      <c r="CC669" s="39"/>
      <c r="CD669" s="39"/>
      <c r="CE669" s="39"/>
      <c r="CF669" s="40"/>
      <c r="CG669" s="40"/>
      <c r="CH669" s="41"/>
      <c r="CI669" s="45"/>
      <c r="CJ669" s="45"/>
      <c r="CK669" s="45"/>
      <c r="CL669" s="45"/>
    </row>
    <row r="670" ht="15.75" customHeight="1">
      <c r="K670" s="38"/>
      <c r="R670" s="39"/>
      <c r="Y670" s="39"/>
      <c r="AF670" s="39"/>
      <c r="AM670" s="40"/>
      <c r="AT670" s="40"/>
      <c r="BA670" s="41"/>
      <c r="BH670" s="42"/>
      <c r="BO670" s="42"/>
      <c r="BP670" s="43"/>
      <c r="CB670" s="44"/>
      <c r="CC670" s="39"/>
      <c r="CD670" s="39"/>
      <c r="CE670" s="39"/>
      <c r="CF670" s="40"/>
      <c r="CG670" s="40"/>
      <c r="CH670" s="41"/>
      <c r="CI670" s="45"/>
      <c r="CJ670" s="45"/>
      <c r="CK670" s="45"/>
      <c r="CL670" s="45"/>
    </row>
    <row r="671" ht="15.75" customHeight="1">
      <c r="K671" s="38"/>
      <c r="R671" s="39"/>
      <c r="Y671" s="39"/>
      <c r="AF671" s="39"/>
      <c r="AM671" s="40"/>
      <c r="AT671" s="40"/>
      <c r="BA671" s="41"/>
      <c r="BH671" s="42"/>
      <c r="BO671" s="42"/>
      <c r="BP671" s="43"/>
      <c r="CB671" s="44"/>
      <c r="CC671" s="39"/>
      <c r="CD671" s="39"/>
      <c r="CE671" s="39"/>
      <c r="CF671" s="40"/>
      <c r="CG671" s="40"/>
      <c r="CH671" s="41"/>
      <c r="CI671" s="45"/>
      <c r="CJ671" s="45"/>
      <c r="CK671" s="45"/>
      <c r="CL671" s="45"/>
    </row>
    <row r="672" ht="15.75" customHeight="1">
      <c r="K672" s="38"/>
      <c r="R672" s="39"/>
      <c r="Y672" s="39"/>
      <c r="AF672" s="39"/>
      <c r="AM672" s="40"/>
      <c r="AT672" s="40"/>
      <c r="BA672" s="41"/>
      <c r="BH672" s="42"/>
      <c r="BO672" s="42"/>
      <c r="BP672" s="43"/>
      <c r="CB672" s="44"/>
      <c r="CC672" s="39"/>
      <c r="CD672" s="39"/>
      <c r="CE672" s="39"/>
      <c r="CF672" s="40"/>
      <c r="CG672" s="40"/>
      <c r="CH672" s="41"/>
      <c r="CI672" s="45"/>
      <c r="CJ672" s="45"/>
      <c r="CK672" s="45"/>
      <c r="CL672" s="45"/>
    </row>
    <row r="673" ht="15.75" customHeight="1">
      <c r="K673" s="38"/>
      <c r="R673" s="39"/>
      <c r="Y673" s="39"/>
      <c r="AF673" s="39"/>
      <c r="AM673" s="40"/>
      <c r="AT673" s="40"/>
      <c r="BA673" s="41"/>
      <c r="BH673" s="42"/>
      <c r="BO673" s="42"/>
      <c r="BP673" s="43"/>
      <c r="CB673" s="44"/>
      <c r="CC673" s="39"/>
      <c r="CD673" s="39"/>
      <c r="CE673" s="39"/>
      <c r="CF673" s="40"/>
      <c r="CG673" s="40"/>
      <c r="CH673" s="41"/>
      <c r="CI673" s="45"/>
      <c r="CJ673" s="45"/>
      <c r="CK673" s="45"/>
      <c r="CL673" s="45"/>
    </row>
    <row r="674" ht="15.75" customHeight="1">
      <c r="K674" s="38"/>
      <c r="R674" s="39"/>
      <c r="Y674" s="39"/>
      <c r="AF674" s="39"/>
      <c r="AM674" s="40"/>
      <c r="AT674" s="40"/>
      <c r="BA674" s="41"/>
      <c r="BH674" s="42"/>
      <c r="BO674" s="42"/>
      <c r="BP674" s="43"/>
      <c r="CB674" s="44"/>
      <c r="CC674" s="39"/>
      <c r="CD674" s="39"/>
      <c r="CE674" s="39"/>
      <c r="CF674" s="40"/>
      <c r="CG674" s="40"/>
      <c r="CH674" s="41"/>
      <c r="CI674" s="45"/>
      <c r="CJ674" s="45"/>
      <c r="CK674" s="45"/>
      <c r="CL674" s="45"/>
    </row>
    <row r="675" ht="15.75" customHeight="1">
      <c r="K675" s="38"/>
      <c r="R675" s="39"/>
      <c r="Y675" s="39"/>
      <c r="AF675" s="39"/>
      <c r="AM675" s="40"/>
      <c r="AT675" s="40"/>
      <c r="BA675" s="41"/>
      <c r="BH675" s="42"/>
      <c r="BO675" s="42"/>
      <c r="BP675" s="43"/>
      <c r="CB675" s="44"/>
      <c r="CC675" s="39"/>
      <c r="CD675" s="39"/>
      <c r="CE675" s="39"/>
      <c r="CF675" s="40"/>
      <c r="CG675" s="40"/>
      <c r="CH675" s="41"/>
      <c r="CI675" s="45"/>
      <c r="CJ675" s="45"/>
      <c r="CK675" s="45"/>
      <c r="CL675" s="45"/>
    </row>
    <row r="676" ht="15.75" customHeight="1">
      <c r="K676" s="38"/>
      <c r="R676" s="39"/>
      <c r="Y676" s="39"/>
      <c r="AF676" s="39"/>
      <c r="AM676" s="40"/>
      <c r="AT676" s="40"/>
      <c r="BA676" s="41"/>
      <c r="BH676" s="42"/>
      <c r="BO676" s="42"/>
      <c r="BP676" s="43"/>
      <c r="CB676" s="44"/>
      <c r="CC676" s="39"/>
      <c r="CD676" s="39"/>
      <c r="CE676" s="39"/>
      <c r="CF676" s="40"/>
      <c r="CG676" s="40"/>
      <c r="CH676" s="41"/>
      <c r="CI676" s="45"/>
      <c r="CJ676" s="45"/>
      <c r="CK676" s="45"/>
      <c r="CL676" s="45"/>
    </row>
    <row r="677" ht="15.75" customHeight="1">
      <c r="K677" s="38"/>
      <c r="R677" s="39"/>
      <c r="Y677" s="39"/>
      <c r="AF677" s="39"/>
      <c r="AM677" s="40"/>
      <c r="AT677" s="40"/>
      <c r="BA677" s="41"/>
      <c r="BH677" s="42"/>
      <c r="BO677" s="42"/>
      <c r="BP677" s="43"/>
      <c r="CB677" s="44"/>
      <c r="CC677" s="39"/>
      <c r="CD677" s="39"/>
      <c r="CE677" s="39"/>
      <c r="CF677" s="40"/>
      <c r="CG677" s="40"/>
      <c r="CH677" s="41"/>
      <c r="CI677" s="45"/>
      <c r="CJ677" s="45"/>
      <c r="CK677" s="45"/>
      <c r="CL677" s="45"/>
    </row>
    <row r="678" ht="15.75" customHeight="1">
      <c r="K678" s="38"/>
      <c r="R678" s="39"/>
      <c r="Y678" s="39"/>
      <c r="AF678" s="39"/>
      <c r="AM678" s="40"/>
      <c r="AT678" s="40"/>
      <c r="BA678" s="41"/>
      <c r="BH678" s="42"/>
      <c r="BO678" s="42"/>
      <c r="BP678" s="43"/>
      <c r="CB678" s="44"/>
      <c r="CC678" s="39"/>
      <c r="CD678" s="39"/>
      <c r="CE678" s="39"/>
      <c r="CF678" s="40"/>
      <c r="CG678" s="40"/>
      <c r="CH678" s="41"/>
      <c r="CI678" s="45"/>
      <c r="CJ678" s="45"/>
      <c r="CK678" s="45"/>
      <c r="CL678" s="45"/>
    </row>
    <row r="679" ht="15.75" customHeight="1">
      <c r="K679" s="38"/>
      <c r="R679" s="39"/>
      <c r="Y679" s="39"/>
      <c r="AF679" s="39"/>
      <c r="AM679" s="40"/>
      <c r="AT679" s="40"/>
      <c r="BA679" s="41"/>
      <c r="BH679" s="42"/>
      <c r="BO679" s="42"/>
      <c r="BP679" s="43"/>
      <c r="CB679" s="44"/>
      <c r="CC679" s="39"/>
      <c r="CD679" s="39"/>
      <c r="CE679" s="39"/>
      <c r="CF679" s="40"/>
      <c r="CG679" s="40"/>
      <c r="CH679" s="41"/>
      <c r="CI679" s="45"/>
      <c r="CJ679" s="45"/>
      <c r="CK679" s="45"/>
      <c r="CL679" s="45"/>
    </row>
    <row r="680" ht="15.75" customHeight="1">
      <c r="K680" s="38"/>
      <c r="R680" s="39"/>
      <c r="Y680" s="39"/>
      <c r="AF680" s="39"/>
      <c r="AM680" s="40"/>
      <c r="AT680" s="40"/>
      <c r="BA680" s="41"/>
      <c r="BH680" s="42"/>
      <c r="BO680" s="42"/>
      <c r="BP680" s="43"/>
      <c r="CB680" s="44"/>
      <c r="CC680" s="39"/>
      <c r="CD680" s="39"/>
      <c r="CE680" s="39"/>
      <c r="CF680" s="40"/>
      <c r="CG680" s="40"/>
      <c r="CH680" s="41"/>
      <c r="CI680" s="45"/>
      <c r="CJ680" s="45"/>
      <c r="CK680" s="45"/>
      <c r="CL680" s="45"/>
    </row>
    <row r="681" ht="15.75" customHeight="1">
      <c r="K681" s="38"/>
      <c r="R681" s="39"/>
      <c r="Y681" s="39"/>
      <c r="AF681" s="39"/>
      <c r="AM681" s="40"/>
      <c r="AT681" s="40"/>
      <c r="BA681" s="41"/>
      <c r="BH681" s="42"/>
      <c r="BO681" s="42"/>
      <c r="BP681" s="43"/>
      <c r="CB681" s="44"/>
      <c r="CC681" s="39"/>
      <c r="CD681" s="39"/>
      <c r="CE681" s="39"/>
      <c r="CF681" s="40"/>
      <c r="CG681" s="40"/>
      <c r="CH681" s="41"/>
      <c r="CI681" s="45"/>
      <c r="CJ681" s="45"/>
      <c r="CK681" s="45"/>
      <c r="CL681" s="45"/>
    </row>
    <row r="682" ht="15.75" customHeight="1">
      <c r="K682" s="38"/>
      <c r="R682" s="39"/>
      <c r="Y682" s="39"/>
      <c r="AF682" s="39"/>
      <c r="AM682" s="40"/>
      <c r="AT682" s="40"/>
      <c r="BA682" s="41"/>
      <c r="BH682" s="42"/>
      <c r="BO682" s="42"/>
      <c r="BP682" s="43"/>
      <c r="CB682" s="44"/>
      <c r="CC682" s="39"/>
      <c r="CD682" s="39"/>
      <c r="CE682" s="39"/>
      <c r="CF682" s="40"/>
      <c r="CG682" s="40"/>
      <c r="CH682" s="41"/>
      <c r="CI682" s="45"/>
      <c r="CJ682" s="45"/>
      <c r="CK682" s="45"/>
      <c r="CL682" s="45"/>
    </row>
    <row r="683" ht="15.75" customHeight="1">
      <c r="K683" s="38"/>
      <c r="R683" s="39"/>
      <c r="Y683" s="39"/>
      <c r="AF683" s="39"/>
      <c r="AM683" s="40"/>
      <c r="AT683" s="40"/>
      <c r="BA683" s="41"/>
      <c r="BH683" s="42"/>
      <c r="BO683" s="42"/>
      <c r="BP683" s="43"/>
      <c r="CB683" s="44"/>
      <c r="CC683" s="39"/>
      <c r="CD683" s="39"/>
      <c r="CE683" s="39"/>
      <c r="CF683" s="40"/>
      <c r="CG683" s="40"/>
      <c r="CH683" s="41"/>
      <c r="CI683" s="45"/>
      <c r="CJ683" s="45"/>
      <c r="CK683" s="45"/>
      <c r="CL683" s="45"/>
    </row>
    <row r="684" ht="15.75" customHeight="1">
      <c r="K684" s="38"/>
      <c r="R684" s="39"/>
      <c r="Y684" s="39"/>
      <c r="AF684" s="39"/>
      <c r="AM684" s="40"/>
      <c r="AT684" s="40"/>
      <c r="BA684" s="41"/>
      <c r="BH684" s="42"/>
      <c r="BO684" s="42"/>
      <c r="BP684" s="43"/>
      <c r="CB684" s="44"/>
      <c r="CC684" s="39"/>
      <c r="CD684" s="39"/>
      <c r="CE684" s="39"/>
      <c r="CF684" s="40"/>
      <c r="CG684" s="40"/>
      <c r="CH684" s="41"/>
      <c r="CI684" s="45"/>
      <c r="CJ684" s="45"/>
      <c r="CK684" s="45"/>
      <c r="CL684" s="45"/>
    </row>
    <row r="685" ht="15.75" customHeight="1">
      <c r="K685" s="38"/>
      <c r="R685" s="39"/>
      <c r="Y685" s="39"/>
      <c r="AF685" s="39"/>
      <c r="AM685" s="40"/>
      <c r="AT685" s="40"/>
      <c r="BA685" s="41"/>
      <c r="BH685" s="42"/>
      <c r="BO685" s="42"/>
      <c r="BP685" s="43"/>
      <c r="CB685" s="44"/>
      <c r="CC685" s="39"/>
      <c r="CD685" s="39"/>
      <c r="CE685" s="39"/>
      <c r="CF685" s="40"/>
      <c r="CG685" s="40"/>
      <c r="CH685" s="41"/>
      <c r="CI685" s="45"/>
      <c r="CJ685" s="45"/>
      <c r="CK685" s="45"/>
      <c r="CL685" s="45"/>
    </row>
    <row r="686" ht="15.75" customHeight="1">
      <c r="K686" s="38"/>
      <c r="R686" s="39"/>
      <c r="Y686" s="39"/>
      <c r="AF686" s="39"/>
      <c r="AM686" s="40"/>
      <c r="AT686" s="40"/>
      <c r="BA686" s="41"/>
      <c r="BH686" s="42"/>
      <c r="BO686" s="42"/>
      <c r="BP686" s="43"/>
      <c r="CB686" s="44"/>
      <c r="CC686" s="39"/>
      <c r="CD686" s="39"/>
      <c r="CE686" s="39"/>
      <c r="CF686" s="40"/>
      <c r="CG686" s="40"/>
      <c r="CH686" s="41"/>
      <c r="CI686" s="45"/>
      <c r="CJ686" s="45"/>
      <c r="CK686" s="45"/>
      <c r="CL686" s="45"/>
    </row>
    <row r="687" ht="15.75" customHeight="1">
      <c r="K687" s="38"/>
      <c r="R687" s="39"/>
      <c r="Y687" s="39"/>
      <c r="AF687" s="39"/>
      <c r="AM687" s="40"/>
      <c r="AT687" s="40"/>
      <c r="BA687" s="41"/>
      <c r="BH687" s="42"/>
      <c r="BO687" s="42"/>
      <c r="BP687" s="43"/>
      <c r="CB687" s="44"/>
      <c r="CC687" s="39"/>
      <c r="CD687" s="39"/>
      <c r="CE687" s="39"/>
      <c r="CF687" s="40"/>
      <c r="CG687" s="40"/>
      <c r="CH687" s="41"/>
      <c r="CI687" s="45"/>
      <c r="CJ687" s="45"/>
      <c r="CK687" s="45"/>
      <c r="CL687" s="45"/>
    </row>
    <row r="688" ht="15.75" customHeight="1">
      <c r="K688" s="38"/>
      <c r="R688" s="39"/>
      <c r="Y688" s="39"/>
      <c r="AF688" s="39"/>
      <c r="AM688" s="40"/>
      <c r="AT688" s="40"/>
      <c r="BA688" s="41"/>
      <c r="BH688" s="42"/>
      <c r="BO688" s="42"/>
      <c r="BP688" s="43"/>
      <c r="CB688" s="44"/>
      <c r="CC688" s="39"/>
      <c r="CD688" s="39"/>
      <c r="CE688" s="39"/>
      <c r="CF688" s="40"/>
      <c r="CG688" s="40"/>
      <c r="CH688" s="41"/>
      <c r="CI688" s="45"/>
      <c r="CJ688" s="45"/>
      <c r="CK688" s="45"/>
      <c r="CL688" s="45"/>
    </row>
    <row r="689" ht="15.75" customHeight="1">
      <c r="K689" s="38"/>
      <c r="R689" s="39"/>
      <c r="Y689" s="39"/>
      <c r="AF689" s="39"/>
      <c r="AM689" s="40"/>
      <c r="AT689" s="40"/>
      <c r="BA689" s="41"/>
      <c r="BH689" s="42"/>
      <c r="BO689" s="42"/>
      <c r="BP689" s="43"/>
      <c r="CB689" s="44"/>
      <c r="CC689" s="39"/>
      <c r="CD689" s="39"/>
      <c r="CE689" s="39"/>
      <c r="CF689" s="40"/>
      <c r="CG689" s="40"/>
      <c r="CH689" s="41"/>
      <c r="CI689" s="45"/>
      <c r="CJ689" s="45"/>
      <c r="CK689" s="45"/>
      <c r="CL689" s="45"/>
    </row>
    <row r="690" ht="15.75" customHeight="1">
      <c r="K690" s="38"/>
      <c r="R690" s="39"/>
      <c r="Y690" s="39"/>
      <c r="AF690" s="39"/>
      <c r="AM690" s="40"/>
      <c r="AT690" s="40"/>
      <c r="BA690" s="41"/>
      <c r="BH690" s="42"/>
      <c r="BO690" s="42"/>
      <c r="BP690" s="43"/>
      <c r="CB690" s="44"/>
      <c r="CC690" s="39"/>
      <c r="CD690" s="39"/>
      <c r="CE690" s="39"/>
      <c r="CF690" s="40"/>
      <c r="CG690" s="40"/>
      <c r="CH690" s="41"/>
      <c r="CI690" s="45"/>
      <c r="CJ690" s="45"/>
      <c r="CK690" s="45"/>
      <c r="CL690" s="45"/>
    </row>
    <row r="691" ht="15.75" customHeight="1">
      <c r="K691" s="38"/>
      <c r="R691" s="39"/>
      <c r="Y691" s="39"/>
      <c r="AF691" s="39"/>
      <c r="AM691" s="40"/>
      <c r="AT691" s="40"/>
      <c r="BA691" s="41"/>
      <c r="BH691" s="42"/>
      <c r="BO691" s="42"/>
      <c r="BP691" s="43"/>
      <c r="CB691" s="44"/>
      <c r="CC691" s="39"/>
      <c r="CD691" s="39"/>
      <c r="CE691" s="39"/>
      <c r="CF691" s="40"/>
      <c r="CG691" s="40"/>
      <c r="CH691" s="41"/>
      <c r="CI691" s="45"/>
      <c r="CJ691" s="45"/>
      <c r="CK691" s="45"/>
      <c r="CL691" s="45"/>
    </row>
    <row r="692" ht="15.75" customHeight="1">
      <c r="K692" s="38"/>
      <c r="R692" s="39"/>
      <c r="Y692" s="39"/>
      <c r="AF692" s="39"/>
      <c r="AM692" s="40"/>
      <c r="AT692" s="40"/>
      <c r="BA692" s="41"/>
      <c r="BH692" s="42"/>
      <c r="BO692" s="42"/>
      <c r="BP692" s="43"/>
      <c r="CB692" s="44"/>
      <c r="CC692" s="39"/>
      <c r="CD692" s="39"/>
      <c r="CE692" s="39"/>
      <c r="CF692" s="40"/>
      <c r="CG692" s="40"/>
      <c r="CH692" s="41"/>
      <c r="CI692" s="45"/>
      <c r="CJ692" s="45"/>
      <c r="CK692" s="45"/>
      <c r="CL692" s="45"/>
    </row>
    <row r="693" ht="15.75" customHeight="1">
      <c r="K693" s="38"/>
      <c r="R693" s="39"/>
      <c r="Y693" s="39"/>
      <c r="AF693" s="39"/>
      <c r="AM693" s="40"/>
      <c r="AT693" s="40"/>
      <c r="BA693" s="41"/>
      <c r="BH693" s="42"/>
      <c r="BO693" s="42"/>
      <c r="BP693" s="43"/>
      <c r="CB693" s="44"/>
      <c r="CC693" s="39"/>
      <c r="CD693" s="39"/>
      <c r="CE693" s="39"/>
      <c r="CF693" s="40"/>
      <c r="CG693" s="40"/>
      <c r="CH693" s="41"/>
      <c r="CI693" s="45"/>
      <c r="CJ693" s="45"/>
      <c r="CK693" s="45"/>
      <c r="CL693" s="45"/>
    </row>
    <row r="694" ht="15.75" customHeight="1">
      <c r="K694" s="38"/>
      <c r="R694" s="39"/>
      <c r="Y694" s="39"/>
      <c r="AF694" s="39"/>
      <c r="AM694" s="40"/>
      <c r="AT694" s="40"/>
      <c r="BA694" s="41"/>
      <c r="BH694" s="42"/>
      <c r="BO694" s="42"/>
      <c r="BP694" s="43"/>
      <c r="CB694" s="44"/>
      <c r="CC694" s="39"/>
      <c r="CD694" s="39"/>
      <c r="CE694" s="39"/>
      <c r="CF694" s="40"/>
      <c r="CG694" s="40"/>
      <c r="CH694" s="41"/>
      <c r="CI694" s="45"/>
      <c r="CJ694" s="45"/>
      <c r="CK694" s="45"/>
      <c r="CL694" s="45"/>
    </row>
    <row r="695" ht="15.75" customHeight="1">
      <c r="K695" s="38"/>
      <c r="R695" s="39"/>
      <c r="Y695" s="39"/>
      <c r="AF695" s="39"/>
      <c r="AM695" s="40"/>
      <c r="AT695" s="40"/>
      <c r="BA695" s="41"/>
      <c r="BH695" s="42"/>
      <c r="BO695" s="42"/>
      <c r="BP695" s="43"/>
      <c r="CB695" s="44"/>
      <c r="CC695" s="39"/>
      <c r="CD695" s="39"/>
      <c r="CE695" s="39"/>
      <c r="CF695" s="40"/>
      <c r="CG695" s="40"/>
      <c r="CH695" s="41"/>
      <c r="CI695" s="45"/>
      <c r="CJ695" s="45"/>
      <c r="CK695" s="45"/>
      <c r="CL695" s="45"/>
    </row>
    <row r="696" ht="15.75" customHeight="1">
      <c r="K696" s="38"/>
      <c r="R696" s="39"/>
      <c r="Y696" s="39"/>
      <c r="AF696" s="39"/>
      <c r="AM696" s="40"/>
      <c r="AT696" s="40"/>
      <c r="BA696" s="41"/>
      <c r="BH696" s="42"/>
      <c r="BO696" s="42"/>
      <c r="BP696" s="43"/>
      <c r="CB696" s="44"/>
      <c r="CC696" s="39"/>
      <c r="CD696" s="39"/>
      <c r="CE696" s="39"/>
      <c r="CF696" s="40"/>
      <c r="CG696" s="40"/>
      <c r="CH696" s="41"/>
      <c r="CI696" s="45"/>
      <c r="CJ696" s="45"/>
      <c r="CK696" s="45"/>
      <c r="CL696" s="45"/>
    </row>
    <row r="697" ht="15.75" customHeight="1">
      <c r="K697" s="38"/>
      <c r="R697" s="39"/>
      <c r="Y697" s="39"/>
      <c r="AF697" s="39"/>
      <c r="AM697" s="40"/>
      <c r="AT697" s="40"/>
      <c r="BA697" s="41"/>
      <c r="BH697" s="42"/>
      <c r="BO697" s="42"/>
      <c r="BP697" s="43"/>
      <c r="CB697" s="44"/>
      <c r="CC697" s="39"/>
      <c r="CD697" s="39"/>
      <c r="CE697" s="39"/>
      <c r="CF697" s="40"/>
      <c r="CG697" s="40"/>
      <c r="CH697" s="41"/>
      <c r="CI697" s="45"/>
      <c r="CJ697" s="45"/>
      <c r="CK697" s="45"/>
      <c r="CL697" s="45"/>
    </row>
    <row r="698" ht="15.75" customHeight="1">
      <c r="K698" s="38"/>
      <c r="R698" s="39"/>
      <c r="Y698" s="39"/>
      <c r="AF698" s="39"/>
      <c r="AM698" s="40"/>
      <c r="AT698" s="40"/>
      <c r="BA698" s="41"/>
      <c r="BH698" s="42"/>
      <c r="BO698" s="42"/>
      <c r="BP698" s="43"/>
      <c r="CB698" s="44"/>
      <c r="CC698" s="39"/>
      <c r="CD698" s="39"/>
      <c r="CE698" s="39"/>
      <c r="CF698" s="40"/>
      <c r="CG698" s="40"/>
      <c r="CH698" s="41"/>
      <c r="CI698" s="45"/>
      <c r="CJ698" s="45"/>
      <c r="CK698" s="45"/>
      <c r="CL698" s="45"/>
    </row>
    <row r="699" ht="15.75" customHeight="1">
      <c r="K699" s="38"/>
      <c r="R699" s="39"/>
      <c r="Y699" s="39"/>
      <c r="AF699" s="39"/>
      <c r="AM699" s="40"/>
      <c r="AT699" s="40"/>
      <c r="BA699" s="41"/>
      <c r="BH699" s="42"/>
      <c r="BO699" s="42"/>
      <c r="BP699" s="43"/>
      <c r="CB699" s="44"/>
      <c r="CC699" s="39"/>
      <c r="CD699" s="39"/>
      <c r="CE699" s="39"/>
      <c r="CF699" s="40"/>
      <c r="CG699" s="40"/>
      <c r="CH699" s="41"/>
      <c r="CI699" s="45"/>
      <c r="CJ699" s="45"/>
      <c r="CK699" s="45"/>
      <c r="CL699" s="45"/>
    </row>
    <row r="700" ht="15.75" customHeight="1">
      <c r="K700" s="38"/>
      <c r="R700" s="39"/>
      <c r="Y700" s="39"/>
      <c r="AF700" s="39"/>
      <c r="AM700" s="40"/>
      <c r="AT700" s="40"/>
      <c r="BA700" s="41"/>
      <c r="BH700" s="42"/>
      <c r="BO700" s="42"/>
      <c r="BP700" s="43"/>
      <c r="CB700" s="44"/>
      <c r="CC700" s="39"/>
      <c r="CD700" s="39"/>
      <c r="CE700" s="39"/>
      <c r="CF700" s="40"/>
      <c r="CG700" s="40"/>
      <c r="CH700" s="41"/>
      <c r="CI700" s="45"/>
      <c r="CJ700" s="45"/>
      <c r="CK700" s="45"/>
      <c r="CL700" s="45"/>
    </row>
    <row r="701" ht="15.75" customHeight="1">
      <c r="K701" s="38"/>
      <c r="R701" s="39"/>
      <c r="Y701" s="39"/>
      <c r="AF701" s="39"/>
      <c r="AM701" s="40"/>
      <c r="AT701" s="40"/>
      <c r="BA701" s="41"/>
      <c r="BH701" s="42"/>
      <c r="BO701" s="42"/>
      <c r="BP701" s="43"/>
      <c r="CB701" s="44"/>
      <c r="CC701" s="39"/>
      <c r="CD701" s="39"/>
      <c r="CE701" s="39"/>
      <c r="CF701" s="40"/>
      <c r="CG701" s="40"/>
      <c r="CH701" s="41"/>
      <c r="CI701" s="45"/>
      <c r="CJ701" s="45"/>
      <c r="CK701" s="45"/>
      <c r="CL701" s="45"/>
    </row>
    <row r="702" ht="15.75" customHeight="1">
      <c r="K702" s="38"/>
      <c r="R702" s="39"/>
      <c r="Y702" s="39"/>
      <c r="AF702" s="39"/>
      <c r="AM702" s="40"/>
      <c r="AT702" s="40"/>
      <c r="BA702" s="41"/>
      <c r="BH702" s="42"/>
      <c r="BO702" s="42"/>
      <c r="BP702" s="43"/>
      <c r="CB702" s="44"/>
      <c r="CC702" s="39"/>
      <c r="CD702" s="39"/>
      <c r="CE702" s="39"/>
      <c r="CF702" s="40"/>
      <c r="CG702" s="40"/>
      <c r="CH702" s="41"/>
      <c r="CI702" s="45"/>
      <c r="CJ702" s="45"/>
      <c r="CK702" s="45"/>
      <c r="CL702" s="45"/>
    </row>
    <row r="703" ht="15.75" customHeight="1">
      <c r="K703" s="38"/>
      <c r="R703" s="39"/>
      <c r="Y703" s="39"/>
      <c r="AF703" s="39"/>
      <c r="AM703" s="40"/>
      <c r="AT703" s="40"/>
      <c r="BA703" s="41"/>
      <c r="BH703" s="42"/>
      <c r="BO703" s="42"/>
      <c r="BP703" s="43"/>
      <c r="CB703" s="44"/>
      <c r="CC703" s="39"/>
      <c r="CD703" s="39"/>
      <c r="CE703" s="39"/>
      <c r="CF703" s="40"/>
      <c r="CG703" s="40"/>
      <c r="CH703" s="41"/>
      <c r="CI703" s="45"/>
      <c r="CJ703" s="45"/>
      <c r="CK703" s="45"/>
      <c r="CL703" s="45"/>
    </row>
    <row r="704" ht="15.75" customHeight="1">
      <c r="K704" s="38"/>
      <c r="R704" s="39"/>
      <c r="Y704" s="39"/>
      <c r="AF704" s="39"/>
      <c r="AM704" s="40"/>
      <c r="AT704" s="40"/>
      <c r="BA704" s="41"/>
      <c r="BH704" s="42"/>
      <c r="BO704" s="42"/>
      <c r="BP704" s="43"/>
      <c r="CB704" s="44"/>
      <c r="CC704" s="39"/>
      <c r="CD704" s="39"/>
      <c r="CE704" s="39"/>
      <c r="CF704" s="40"/>
      <c r="CG704" s="40"/>
      <c r="CH704" s="41"/>
      <c r="CI704" s="45"/>
      <c r="CJ704" s="45"/>
      <c r="CK704" s="45"/>
      <c r="CL704" s="45"/>
    </row>
    <row r="705" ht="15.75" customHeight="1">
      <c r="K705" s="38"/>
      <c r="R705" s="39"/>
      <c r="Y705" s="39"/>
      <c r="AF705" s="39"/>
      <c r="AM705" s="40"/>
      <c r="AT705" s="40"/>
      <c r="BA705" s="41"/>
      <c r="BH705" s="42"/>
      <c r="BO705" s="42"/>
      <c r="BP705" s="43"/>
      <c r="CB705" s="44"/>
      <c r="CC705" s="39"/>
      <c r="CD705" s="39"/>
      <c r="CE705" s="39"/>
      <c r="CF705" s="40"/>
      <c r="CG705" s="40"/>
      <c r="CH705" s="41"/>
      <c r="CI705" s="45"/>
      <c r="CJ705" s="45"/>
      <c r="CK705" s="45"/>
      <c r="CL705" s="45"/>
    </row>
    <row r="706" ht="15.75" customHeight="1">
      <c r="K706" s="38"/>
      <c r="R706" s="39"/>
      <c r="Y706" s="39"/>
      <c r="AF706" s="39"/>
      <c r="AM706" s="40"/>
      <c r="AT706" s="40"/>
      <c r="BA706" s="41"/>
      <c r="BH706" s="42"/>
      <c r="BO706" s="42"/>
      <c r="BP706" s="43"/>
      <c r="CB706" s="44"/>
      <c r="CC706" s="39"/>
      <c r="CD706" s="39"/>
      <c r="CE706" s="39"/>
      <c r="CF706" s="40"/>
      <c r="CG706" s="40"/>
      <c r="CH706" s="41"/>
      <c r="CI706" s="45"/>
      <c r="CJ706" s="45"/>
      <c r="CK706" s="45"/>
      <c r="CL706" s="45"/>
    </row>
    <row r="707" ht="15.75" customHeight="1">
      <c r="K707" s="38"/>
      <c r="R707" s="39"/>
      <c r="Y707" s="39"/>
      <c r="AF707" s="39"/>
      <c r="AM707" s="40"/>
      <c r="AT707" s="40"/>
      <c r="BA707" s="41"/>
      <c r="BH707" s="42"/>
      <c r="BO707" s="42"/>
      <c r="BP707" s="43"/>
      <c r="CB707" s="44"/>
      <c r="CC707" s="39"/>
      <c r="CD707" s="39"/>
      <c r="CE707" s="39"/>
      <c r="CF707" s="40"/>
      <c r="CG707" s="40"/>
      <c r="CH707" s="41"/>
      <c r="CI707" s="45"/>
      <c r="CJ707" s="45"/>
      <c r="CK707" s="45"/>
      <c r="CL707" s="45"/>
    </row>
    <row r="708" ht="15.75" customHeight="1">
      <c r="K708" s="38"/>
      <c r="R708" s="39"/>
      <c r="Y708" s="39"/>
      <c r="AF708" s="39"/>
      <c r="AM708" s="40"/>
      <c r="AT708" s="40"/>
      <c r="BA708" s="41"/>
      <c r="BH708" s="42"/>
      <c r="BO708" s="42"/>
      <c r="BP708" s="43"/>
      <c r="CB708" s="44"/>
      <c r="CC708" s="39"/>
      <c r="CD708" s="39"/>
      <c r="CE708" s="39"/>
      <c r="CF708" s="40"/>
      <c r="CG708" s="40"/>
      <c r="CH708" s="41"/>
      <c r="CI708" s="45"/>
      <c r="CJ708" s="45"/>
      <c r="CK708" s="45"/>
      <c r="CL708" s="45"/>
    </row>
    <row r="709" ht="15.75" customHeight="1">
      <c r="K709" s="38"/>
      <c r="R709" s="39"/>
      <c r="Y709" s="39"/>
      <c r="AF709" s="39"/>
      <c r="AM709" s="40"/>
      <c r="AT709" s="40"/>
      <c r="BA709" s="41"/>
      <c r="BH709" s="42"/>
      <c r="BO709" s="42"/>
      <c r="BP709" s="43"/>
      <c r="CB709" s="44"/>
      <c r="CC709" s="39"/>
      <c r="CD709" s="39"/>
      <c r="CE709" s="39"/>
      <c r="CF709" s="40"/>
      <c r="CG709" s="40"/>
      <c r="CH709" s="41"/>
      <c r="CI709" s="45"/>
      <c r="CJ709" s="45"/>
      <c r="CK709" s="45"/>
      <c r="CL709" s="45"/>
    </row>
    <row r="710" ht="15.75" customHeight="1">
      <c r="K710" s="38"/>
      <c r="R710" s="39"/>
      <c r="Y710" s="39"/>
      <c r="AF710" s="39"/>
      <c r="AM710" s="40"/>
      <c r="AT710" s="40"/>
      <c r="BA710" s="41"/>
      <c r="BH710" s="42"/>
      <c r="BO710" s="42"/>
      <c r="BP710" s="43"/>
      <c r="CB710" s="44"/>
      <c r="CC710" s="39"/>
      <c r="CD710" s="39"/>
      <c r="CE710" s="39"/>
      <c r="CF710" s="40"/>
      <c r="CG710" s="40"/>
      <c r="CH710" s="41"/>
      <c r="CI710" s="45"/>
      <c r="CJ710" s="45"/>
      <c r="CK710" s="45"/>
      <c r="CL710" s="45"/>
    </row>
    <row r="711" ht="15.75" customHeight="1">
      <c r="K711" s="38"/>
      <c r="R711" s="39"/>
      <c r="Y711" s="39"/>
      <c r="AF711" s="39"/>
      <c r="AM711" s="40"/>
      <c r="AT711" s="40"/>
      <c r="BA711" s="41"/>
      <c r="BH711" s="42"/>
      <c r="BO711" s="42"/>
      <c r="BP711" s="43"/>
      <c r="CB711" s="44"/>
      <c r="CC711" s="39"/>
      <c r="CD711" s="39"/>
      <c r="CE711" s="39"/>
      <c r="CF711" s="40"/>
      <c r="CG711" s="40"/>
      <c r="CH711" s="41"/>
      <c r="CI711" s="45"/>
      <c r="CJ711" s="45"/>
      <c r="CK711" s="45"/>
      <c r="CL711" s="45"/>
    </row>
    <row r="712" ht="15.75" customHeight="1">
      <c r="K712" s="38"/>
      <c r="R712" s="39"/>
      <c r="Y712" s="39"/>
      <c r="AF712" s="39"/>
      <c r="AM712" s="40"/>
      <c r="AT712" s="40"/>
      <c r="BA712" s="41"/>
      <c r="BH712" s="42"/>
      <c r="BO712" s="42"/>
      <c r="BP712" s="43"/>
      <c r="CB712" s="44"/>
      <c r="CC712" s="39"/>
      <c r="CD712" s="39"/>
      <c r="CE712" s="39"/>
      <c r="CF712" s="40"/>
      <c r="CG712" s="40"/>
      <c r="CH712" s="41"/>
      <c r="CI712" s="45"/>
      <c r="CJ712" s="45"/>
      <c r="CK712" s="45"/>
      <c r="CL712" s="45"/>
    </row>
    <row r="713" ht="15.75" customHeight="1">
      <c r="K713" s="38"/>
      <c r="R713" s="39"/>
      <c r="Y713" s="39"/>
      <c r="AF713" s="39"/>
      <c r="AM713" s="40"/>
      <c r="AT713" s="40"/>
      <c r="BA713" s="41"/>
      <c r="BH713" s="42"/>
      <c r="BO713" s="42"/>
      <c r="BP713" s="43"/>
      <c r="CB713" s="44"/>
      <c r="CC713" s="39"/>
      <c r="CD713" s="39"/>
      <c r="CE713" s="39"/>
      <c r="CF713" s="40"/>
      <c r="CG713" s="40"/>
      <c r="CH713" s="41"/>
      <c r="CI713" s="45"/>
      <c r="CJ713" s="45"/>
      <c r="CK713" s="45"/>
      <c r="CL713" s="45"/>
    </row>
    <row r="714" ht="15.75" customHeight="1">
      <c r="K714" s="38"/>
      <c r="R714" s="39"/>
      <c r="Y714" s="39"/>
      <c r="AF714" s="39"/>
      <c r="AM714" s="40"/>
      <c r="AT714" s="40"/>
      <c r="BA714" s="41"/>
      <c r="BH714" s="42"/>
      <c r="BO714" s="42"/>
      <c r="BP714" s="43"/>
      <c r="CB714" s="44"/>
      <c r="CC714" s="39"/>
      <c r="CD714" s="39"/>
      <c r="CE714" s="39"/>
      <c r="CF714" s="40"/>
      <c r="CG714" s="40"/>
      <c r="CH714" s="41"/>
      <c r="CI714" s="45"/>
      <c r="CJ714" s="45"/>
      <c r="CK714" s="45"/>
      <c r="CL714" s="45"/>
    </row>
    <row r="715" ht="15.75" customHeight="1">
      <c r="K715" s="38"/>
      <c r="R715" s="39"/>
      <c r="Y715" s="39"/>
      <c r="AF715" s="39"/>
      <c r="AM715" s="40"/>
      <c r="AT715" s="40"/>
      <c r="BA715" s="41"/>
      <c r="BH715" s="42"/>
      <c r="BO715" s="42"/>
      <c r="BP715" s="43"/>
      <c r="CB715" s="44"/>
      <c r="CC715" s="39"/>
      <c r="CD715" s="39"/>
      <c r="CE715" s="39"/>
      <c r="CF715" s="40"/>
      <c r="CG715" s="40"/>
      <c r="CH715" s="41"/>
      <c r="CI715" s="45"/>
      <c r="CJ715" s="45"/>
      <c r="CK715" s="45"/>
      <c r="CL715" s="45"/>
    </row>
    <row r="716" ht="15.75" customHeight="1">
      <c r="K716" s="38"/>
      <c r="R716" s="39"/>
      <c r="Y716" s="39"/>
      <c r="AF716" s="39"/>
      <c r="AM716" s="40"/>
      <c r="AT716" s="40"/>
      <c r="BA716" s="41"/>
      <c r="BH716" s="42"/>
      <c r="BO716" s="42"/>
      <c r="BP716" s="43"/>
      <c r="CB716" s="44"/>
      <c r="CC716" s="39"/>
      <c r="CD716" s="39"/>
      <c r="CE716" s="39"/>
      <c r="CF716" s="40"/>
      <c r="CG716" s="40"/>
      <c r="CH716" s="41"/>
      <c r="CI716" s="45"/>
      <c r="CJ716" s="45"/>
      <c r="CK716" s="45"/>
      <c r="CL716" s="45"/>
    </row>
    <row r="717" ht="15.75" customHeight="1">
      <c r="K717" s="38"/>
      <c r="R717" s="39"/>
      <c r="Y717" s="39"/>
      <c r="AF717" s="39"/>
      <c r="AM717" s="40"/>
      <c r="AT717" s="40"/>
      <c r="BA717" s="41"/>
      <c r="BH717" s="42"/>
      <c r="BO717" s="42"/>
      <c r="BP717" s="43"/>
      <c r="CB717" s="44"/>
      <c r="CC717" s="39"/>
      <c r="CD717" s="39"/>
      <c r="CE717" s="39"/>
      <c r="CF717" s="40"/>
      <c r="CG717" s="40"/>
      <c r="CH717" s="41"/>
      <c r="CI717" s="45"/>
      <c r="CJ717" s="45"/>
      <c r="CK717" s="45"/>
      <c r="CL717" s="45"/>
    </row>
    <row r="718" ht="15.75" customHeight="1">
      <c r="K718" s="38"/>
      <c r="R718" s="39"/>
      <c r="Y718" s="39"/>
      <c r="AF718" s="39"/>
      <c r="AM718" s="40"/>
      <c r="AT718" s="40"/>
      <c r="BA718" s="41"/>
      <c r="BH718" s="42"/>
      <c r="BO718" s="42"/>
      <c r="BP718" s="43"/>
      <c r="CB718" s="44"/>
      <c r="CC718" s="39"/>
      <c r="CD718" s="39"/>
      <c r="CE718" s="39"/>
      <c r="CF718" s="40"/>
      <c r="CG718" s="40"/>
      <c r="CH718" s="41"/>
      <c r="CI718" s="45"/>
      <c r="CJ718" s="45"/>
      <c r="CK718" s="45"/>
      <c r="CL718" s="45"/>
    </row>
    <row r="719" ht="15.75" customHeight="1">
      <c r="K719" s="38"/>
      <c r="R719" s="39"/>
      <c r="Y719" s="39"/>
      <c r="AF719" s="39"/>
      <c r="AM719" s="40"/>
      <c r="AT719" s="40"/>
      <c r="BA719" s="41"/>
      <c r="BH719" s="42"/>
      <c r="BO719" s="42"/>
      <c r="BP719" s="43"/>
      <c r="CB719" s="44"/>
      <c r="CC719" s="39"/>
      <c r="CD719" s="39"/>
      <c r="CE719" s="39"/>
      <c r="CF719" s="40"/>
      <c r="CG719" s="40"/>
      <c r="CH719" s="41"/>
      <c r="CI719" s="45"/>
      <c r="CJ719" s="45"/>
      <c r="CK719" s="45"/>
      <c r="CL719" s="45"/>
    </row>
    <row r="720" ht="15.75" customHeight="1">
      <c r="K720" s="38"/>
      <c r="R720" s="39"/>
      <c r="Y720" s="39"/>
      <c r="AF720" s="39"/>
      <c r="AM720" s="40"/>
      <c r="AT720" s="40"/>
      <c r="BA720" s="41"/>
      <c r="BH720" s="42"/>
      <c r="BO720" s="42"/>
      <c r="BP720" s="43"/>
      <c r="CB720" s="44"/>
      <c r="CC720" s="39"/>
      <c r="CD720" s="39"/>
      <c r="CE720" s="39"/>
      <c r="CF720" s="40"/>
      <c r="CG720" s="40"/>
      <c r="CH720" s="41"/>
      <c r="CI720" s="45"/>
      <c r="CJ720" s="45"/>
      <c r="CK720" s="45"/>
      <c r="CL720" s="45"/>
    </row>
    <row r="721" ht="15.75" customHeight="1">
      <c r="K721" s="38"/>
      <c r="R721" s="39"/>
      <c r="Y721" s="39"/>
      <c r="AF721" s="39"/>
      <c r="AM721" s="40"/>
      <c r="AT721" s="40"/>
      <c r="BA721" s="41"/>
      <c r="BH721" s="42"/>
      <c r="BO721" s="42"/>
      <c r="BP721" s="43"/>
      <c r="CB721" s="44"/>
      <c r="CC721" s="39"/>
      <c r="CD721" s="39"/>
      <c r="CE721" s="39"/>
      <c r="CF721" s="40"/>
      <c r="CG721" s="40"/>
      <c r="CH721" s="41"/>
      <c r="CI721" s="45"/>
      <c r="CJ721" s="45"/>
      <c r="CK721" s="45"/>
      <c r="CL721" s="45"/>
    </row>
    <row r="722" ht="15.75" customHeight="1">
      <c r="K722" s="38"/>
      <c r="R722" s="39"/>
      <c r="Y722" s="39"/>
      <c r="AF722" s="39"/>
      <c r="AM722" s="40"/>
      <c r="AT722" s="40"/>
      <c r="BA722" s="41"/>
      <c r="BH722" s="42"/>
      <c r="BO722" s="42"/>
      <c r="BP722" s="43"/>
      <c r="CB722" s="44"/>
      <c r="CC722" s="39"/>
      <c r="CD722" s="39"/>
      <c r="CE722" s="39"/>
      <c r="CF722" s="40"/>
      <c r="CG722" s="40"/>
      <c r="CH722" s="41"/>
      <c r="CI722" s="45"/>
      <c r="CJ722" s="45"/>
      <c r="CK722" s="45"/>
      <c r="CL722" s="45"/>
    </row>
    <row r="723" ht="15.75" customHeight="1">
      <c r="K723" s="38"/>
      <c r="R723" s="39"/>
      <c r="Y723" s="39"/>
      <c r="AF723" s="39"/>
      <c r="AM723" s="40"/>
      <c r="AT723" s="40"/>
      <c r="BA723" s="41"/>
      <c r="BH723" s="42"/>
      <c r="BO723" s="42"/>
      <c r="BP723" s="43"/>
      <c r="CB723" s="44"/>
      <c r="CC723" s="39"/>
      <c r="CD723" s="39"/>
      <c r="CE723" s="39"/>
      <c r="CF723" s="40"/>
      <c r="CG723" s="40"/>
      <c r="CH723" s="41"/>
      <c r="CI723" s="45"/>
      <c r="CJ723" s="45"/>
      <c r="CK723" s="45"/>
      <c r="CL723" s="45"/>
    </row>
    <row r="724" ht="15.75" customHeight="1">
      <c r="K724" s="38"/>
      <c r="R724" s="39"/>
      <c r="Y724" s="39"/>
      <c r="AF724" s="39"/>
      <c r="AM724" s="40"/>
      <c r="AT724" s="40"/>
      <c r="BA724" s="41"/>
      <c r="BH724" s="42"/>
      <c r="BO724" s="42"/>
      <c r="BP724" s="43"/>
      <c r="CB724" s="44"/>
      <c r="CC724" s="39"/>
      <c r="CD724" s="39"/>
      <c r="CE724" s="39"/>
      <c r="CF724" s="40"/>
      <c r="CG724" s="40"/>
      <c r="CH724" s="41"/>
      <c r="CI724" s="45"/>
      <c r="CJ724" s="45"/>
      <c r="CK724" s="45"/>
      <c r="CL724" s="45"/>
    </row>
    <row r="725" ht="15.75" customHeight="1">
      <c r="K725" s="38"/>
      <c r="R725" s="39"/>
      <c r="Y725" s="39"/>
      <c r="AF725" s="39"/>
      <c r="AM725" s="40"/>
      <c r="AT725" s="40"/>
      <c r="BA725" s="41"/>
      <c r="BH725" s="42"/>
      <c r="BO725" s="42"/>
      <c r="BP725" s="43"/>
      <c r="CB725" s="44"/>
      <c r="CC725" s="39"/>
      <c r="CD725" s="39"/>
      <c r="CE725" s="39"/>
      <c r="CF725" s="40"/>
      <c r="CG725" s="40"/>
      <c r="CH725" s="41"/>
      <c r="CI725" s="45"/>
      <c r="CJ725" s="45"/>
      <c r="CK725" s="45"/>
      <c r="CL725" s="45"/>
    </row>
    <row r="726" ht="15.75" customHeight="1">
      <c r="K726" s="38"/>
      <c r="R726" s="39"/>
      <c r="Y726" s="39"/>
      <c r="AF726" s="39"/>
      <c r="AM726" s="40"/>
      <c r="AT726" s="40"/>
      <c r="BA726" s="41"/>
      <c r="BH726" s="42"/>
      <c r="BO726" s="42"/>
      <c r="BP726" s="43"/>
      <c r="CB726" s="44"/>
      <c r="CC726" s="39"/>
      <c r="CD726" s="39"/>
      <c r="CE726" s="39"/>
      <c r="CF726" s="40"/>
      <c r="CG726" s="40"/>
      <c r="CH726" s="41"/>
      <c r="CI726" s="45"/>
      <c r="CJ726" s="45"/>
      <c r="CK726" s="45"/>
      <c r="CL726" s="45"/>
    </row>
    <row r="727" ht="15.75" customHeight="1">
      <c r="K727" s="38"/>
      <c r="R727" s="39"/>
      <c r="Y727" s="39"/>
      <c r="AF727" s="39"/>
      <c r="AM727" s="40"/>
      <c r="AT727" s="40"/>
      <c r="BA727" s="41"/>
      <c r="BH727" s="42"/>
      <c r="BO727" s="42"/>
      <c r="BP727" s="43"/>
      <c r="CB727" s="44"/>
      <c r="CC727" s="39"/>
      <c r="CD727" s="39"/>
      <c r="CE727" s="39"/>
      <c r="CF727" s="40"/>
      <c r="CG727" s="40"/>
      <c r="CH727" s="41"/>
      <c r="CI727" s="45"/>
      <c r="CJ727" s="45"/>
      <c r="CK727" s="45"/>
      <c r="CL727" s="45"/>
    </row>
    <row r="728" ht="15.75" customHeight="1">
      <c r="K728" s="38"/>
      <c r="R728" s="39"/>
      <c r="Y728" s="39"/>
      <c r="AF728" s="39"/>
      <c r="AM728" s="40"/>
      <c r="AT728" s="40"/>
      <c r="BA728" s="41"/>
      <c r="BH728" s="42"/>
      <c r="BO728" s="42"/>
      <c r="BP728" s="43"/>
      <c r="CB728" s="44"/>
      <c r="CC728" s="39"/>
      <c r="CD728" s="39"/>
      <c r="CE728" s="39"/>
      <c r="CF728" s="40"/>
      <c r="CG728" s="40"/>
      <c r="CH728" s="41"/>
      <c r="CI728" s="45"/>
      <c r="CJ728" s="45"/>
      <c r="CK728" s="45"/>
      <c r="CL728" s="45"/>
    </row>
    <row r="729" ht="15.75" customHeight="1">
      <c r="K729" s="38"/>
      <c r="R729" s="39"/>
      <c r="Y729" s="39"/>
      <c r="AF729" s="39"/>
      <c r="AM729" s="40"/>
      <c r="AT729" s="40"/>
      <c r="BA729" s="41"/>
      <c r="BH729" s="42"/>
      <c r="BO729" s="42"/>
      <c r="BP729" s="43"/>
      <c r="CB729" s="44"/>
      <c r="CC729" s="39"/>
      <c r="CD729" s="39"/>
      <c r="CE729" s="39"/>
      <c r="CF729" s="40"/>
      <c r="CG729" s="40"/>
      <c r="CH729" s="41"/>
      <c r="CI729" s="45"/>
      <c r="CJ729" s="45"/>
      <c r="CK729" s="45"/>
      <c r="CL729" s="45"/>
    </row>
    <row r="730" ht="15.75" customHeight="1">
      <c r="K730" s="38"/>
      <c r="R730" s="39"/>
      <c r="Y730" s="39"/>
      <c r="AF730" s="39"/>
      <c r="AM730" s="40"/>
      <c r="AT730" s="40"/>
      <c r="BA730" s="41"/>
      <c r="BH730" s="42"/>
      <c r="BO730" s="42"/>
      <c r="BP730" s="43"/>
      <c r="CB730" s="44"/>
      <c r="CC730" s="39"/>
      <c r="CD730" s="39"/>
      <c r="CE730" s="39"/>
      <c r="CF730" s="40"/>
      <c r="CG730" s="40"/>
      <c r="CH730" s="41"/>
      <c r="CI730" s="45"/>
      <c r="CJ730" s="45"/>
      <c r="CK730" s="45"/>
      <c r="CL730" s="45"/>
    </row>
    <row r="731" ht="15.75" customHeight="1">
      <c r="K731" s="38"/>
      <c r="R731" s="39"/>
      <c r="Y731" s="39"/>
      <c r="AF731" s="39"/>
      <c r="AM731" s="40"/>
      <c r="AT731" s="40"/>
      <c r="BA731" s="41"/>
      <c r="BH731" s="42"/>
      <c r="BO731" s="42"/>
      <c r="BP731" s="43"/>
      <c r="CB731" s="44"/>
      <c r="CC731" s="39"/>
      <c r="CD731" s="39"/>
      <c r="CE731" s="39"/>
      <c r="CF731" s="40"/>
      <c r="CG731" s="40"/>
      <c r="CH731" s="41"/>
      <c r="CI731" s="45"/>
      <c r="CJ731" s="45"/>
      <c r="CK731" s="45"/>
      <c r="CL731" s="45"/>
    </row>
    <row r="732" ht="15.75" customHeight="1">
      <c r="K732" s="38"/>
      <c r="R732" s="39"/>
      <c r="Y732" s="39"/>
      <c r="AF732" s="39"/>
      <c r="AM732" s="40"/>
      <c r="AT732" s="40"/>
      <c r="BA732" s="41"/>
      <c r="BH732" s="42"/>
      <c r="BO732" s="42"/>
      <c r="BP732" s="43"/>
      <c r="CB732" s="44"/>
      <c r="CC732" s="39"/>
      <c r="CD732" s="39"/>
      <c r="CE732" s="39"/>
      <c r="CF732" s="40"/>
      <c r="CG732" s="40"/>
      <c r="CH732" s="41"/>
      <c r="CI732" s="45"/>
      <c r="CJ732" s="45"/>
      <c r="CK732" s="45"/>
      <c r="CL732" s="45"/>
    </row>
    <row r="733" ht="15.75" customHeight="1">
      <c r="K733" s="38"/>
      <c r="R733" s="39"/>
      <c r="Y733" s="39"/>
      <c r="AF733" s="39"/>
      <c r="AM733" s="40"/>
      <c r="AT733" s="40"/>
      <c r="BA733" s="41"/>
      <c r="BH733" s="42"/>
      <c r="BO733" s="42"/>
      <c r="BP733" s="43"/>
      <c r="CB733" s="44"/>
      <c r="CC733" s="39"/>
      <c r="CD733" s="39"/>
      <c r="CE733" s="39"/>
      <c r="CF733" s="40"/>
      <c r="CG733" s="40"/>
      <c r="CH733" s="41"/>
      <c r="CI733" s="45"/>
      <c r="CJ733" s="45"/>
      <c r="CK733" s="45"/>
      <c r="CL733" s="45"/>
    </row>
    <row r="734" ht="15.75" customHeight="1">
      <c r="K734" s="38"/>
      <c r="R734" s="39"/>
      <c r="Y734" s="39"/>
      <c r="AF734" s="39"/>
      <c r="AM734" s="40"/>
      <c r="AT734" s="40"/>
      <c r="BA734" s="41"/>
      <c r="BH734" s="42"/>
      <c r="BO734" s="42"/>
      <c r="BP734" s="43"/>
      <c r="CB734" s="44"/>
      <c r="CC734" s="39"/>
      <c r="CD734" s="39"/>
      <c r="CE734" s="39"/>
      <c r="CF734" s="40"/>
      <c r="CG734" s="40"/>
      <c r="CH734" s="41"/>
      <c r="CI734" s="45"/>
      <c r="CJ734" s="45"/>
      <c r="CK734" s="45"/>
      <c r="CL734" s="45"/>
    </row>
    <row r="735" ht="15.75" customHeight="1">
      <c r="K735" s="38"/>
      <c r="R735" s="39"/>
      <c r="Y735" s="39"/>
      <c r="AF735" s="39"/>
      <c r="AM735" s="40"/>
      <c r="AT735" s="40"/>
      <c r="BA735" s="41"/>
      <c r="BH735" s="42"/>
      <c r="BO735" s="42"/>
      <c r="BP735" s="43"/>
      <c r="CB735" s="44"/>
      <c r="CC735" s="39"/>
      <c r="CD735" s="39"/>
      <c r="CE735" s="39"/>
      <c r="CF735" s="40"/>
      <c r="CG735" s="40"/>
      <c r="CH735" s="41"/>
      <c r="CI735" s="45"/>
      <c r="CJ735" s="45"/>
      <c r="CK735" s="45"/>
      <c r="CL735" s="45"/>
    </row>
    <row r="736" ht="15.75" customHeight="1">
      <c r="K736" s="38"/>
      <c r="R736" s="39"/>
      <c r="Y736" s="39"/>
      <c r="AF736" s="39"/>
      <c r="AM736" s="40"/>
      <c r="AT736" s="40"/>
      <c r="BA736" s="41"/>
      <c r="BH736" s="42"/>
      <c r="BO736" s="42"/>
      <c r="BP736" s="43"/>
      <c r="CB736" s="44"/>
      <c r="CC736" s="39"/>
      <c r="CD736" s="39"/>
      <c r="CE736" s="39"/>
      <c r="CF736" s="40"/>
      <c r="CG736" s="40"/>
      <c r="CH736" s="41"/>
      <c r="CI736" s="45"/>
      <c r="CJ736" s="45"/>
      <c r="CK736" s="45"/>
      <c r="CL736" s="45"/>
    </row>
    <row r="737" ht="15.75" customHeight="1">
      <c r="K737" s="38"/>
      <c r="R737" s="39"/>
      <c r="Y737" s="39"/>
      <c r="AF737" s="39"/>
      <c r="AM737" s="40"/>
      <c r="AT737" s="40"/>
      <c r="BA737" s="41"/>
      <c r="BH737" s="42"/>
      <c r="BO737" s="42"/>
      <c r="BP737" s="43"/>
      <c r="CB737" s="44"/>
      <c r="CC737" s="39"/>
      <c r="CD737" s="39"/>
      <c r="CE737" s="39"/>
      <c r="CF737" s="40"/>
      <c r="CG737" s="40"/>
      <c r="CH737" s="41"/>
      <c r="CI737" s="45"/>
      <c r="CJ737" s="45"/>
      <c r="CK737" s="45"/>
      <c r="CL737" s="45"/>
    </row>
    <row r="738" ht="15.75" customHeight="1">
      <c r="K738" s="38"/>
      <c r="R738" s="39"/>
      <c r="Y738" s="39"/>
      <c r="AF738" s="39"/>
      <c r="AM738" s="40"/>
      <c r="AT738" s="40"/>
      <c r="BA738" s="41"/>
      <c r="BH738" s="42"/>
      <c r="BO738" s="42"/>
      <c r="BP738" s="43"/>
      <c r="CB738" s="44"/>
      <c r="CC738" s="39"/>
      <c r="CD738" s="39"/>
      <c r="CE738" s="39"/>
      <c r="CF738" s="40"/>
      <c r="CG738" s="40"/>
      <c r="CH738" s="41"/>
      <c r="CI738" s="45"/>
      <c r="CJ738" s="45"/>
      <c r="CK738" s="45"/>
      <c r="CL738" s="45"/>
    </row>
    <row r="739" ht="15.75" customHeight="1">
      <c r="K739" s="38"/>
      <c r="R739" s="39"/>
      <c r="Y739" s="39"/>
      <c r="AF739" s="39"/>
      <c r="AM739" s="40"/>
      <c r="AT739" s="40"/>
      <c r="BA739" s="41"/>
      <c r="BH739" s="42"/>
      <c r="BO739" s="42"/>
      <c r="BP739" s="43"/>
      <c r="CB739" s="44"/>
      <c r="CC739" s="39"/>
      <c r="CD739" s="39"/>
      <c r="CE739" s="39"/>
      <c r="CF739" s="40"/>
      <c r="CG739" s="40"/>
      <c r="CH739" s="41"/>
      <c r="CI739" s="45"/>
      <c r="CJ739" s="45"/>
      <c r="CK739" s="45"/>
      <c r="CL739" s="45"/>
    </row>
    <row r="740" ht="15.75" customHeight="1">
      <c r="K740" s="38"/>
      <c r="R740" s="39"/>
      <c r="Y740" s="39"/>
      <c r="AF740" s="39"/>
      <c r="AM740" s="40"/>
      <c r="AT740" s="40"/>
      <c r="BA740" s="41"/>
      <c r="BH740" s="42"/>
      <c r="BO740" s="42"/>
      <c r="BP740" s="43"/>
      <c r="CB740" s="44"/>
      <c r="CC740" s="39"/>
      <c r="CD740" s="39"/>
      <c r="CE740" s="39"/>
      <c r="CF740" s="40"/>
      <c r="CG740" s="40"/>
      <c r="CH740" s="41"/>
      <c r="CI740" s="45"/>
      <c r="CJ740" s="45"/>
      <c r="CK740" s="45"/>
      <c r="CL740" s="45"/>
    </row>
    <row r="741" ht="15.75" customHeight="1">
      <c r="K741" s="38"/>
      <c r="R741" s="39"/>
      <c r="Y741" s="39"/>
      <c r="AF741" s="39"/>
      <c r="AM741" s="40"/>
      <c r="AT741" s="40"/>
      <c r="BA741" s="41"/>
      <c r="BH741" s="42"/>
      <c r="BO741" s="42"/>
      <c r="BP741" s="43"/>
      <c r="CB741" s="44"/>
      <c r="CC741" s="39"/>
      <c r="CD741" s="39"/>
      <c r="CE741" s="39"/>
      <c r="CF741" s="40"/>
      <c r="CG741" s="40"/>
      <c r="CH741" s="41"/>
      <c r="CI741" s="45"/>
      <c r="CJ741" s="45"/>
      <c r="CK741" s="45"/>
      <c r="CL741" s="45"/>
    </row>
    <row r="742" ht="15.75" customHeight="1">
      <c r="K742" s="38"/>
      <c r="R742" s="39"/>
      <c r="Y742" s="39"/>
      <c r="AF742" s="39"/>
      <c r="AM742" s="40"/>
      <c r="AT742" s="40"/>
      <c r="BA742" s="41"/>
      <c r="BH742" s="42"/>
      <c r="BO742" s="42"/>
      <c r="BP742" s="43"/>
      <c r="CB742" s="44"/>
      <c r="CC742" s="39"/>
      <c r="CD742" s="39"/>
      <c r="CE742" s="39"/>
      <c r="CF742" s="40"/>
      <c r="CG742" s="40"/>
      <c r="CH742" s="41"/>
      <c r="CI742" s="45"/>
      <c r="CJ742" s="45"/>
      <c r="CK742" s="45"/>
      <c r="CL742" s="45"/>
    </row>
    <row r="743" ht="15.75" customHeight="1">
      <c r="K743" s="38"/>
      <c r="R743" s="39"/>
      <c r="Y743" s="39"/>
      <c r="AF743" s="39"/>
      <c r="AM743" s="40"/>
      <c r="AT743" s="40"/>
      <c r="BA743" s="41"/>
      <c r="BH743" s="42"/>
      <c r="BO743" s="42"/>
      <c r="BP743" s="43"/>
      <c r="CB743" s="44"/>
      <c r="CC743" s="39"/>
      <c r="CD743" s="39"/>
      <c r="CE743" s="39"/>
      <c r="CF743" s="40"/>
      <c r="CG743" s="40"/>
      <c r="CH743" s="41"/>
      <c r="CI743" s="45"/>
      <c r="CJ743" s="45"/>
      <c r="CK743" s="45"/>
      <c r="CL743" s="45"/>
    </row>
    <row r="744" ht="15.75" customHeight="1">
      <c r="K744" s="38"/>
      <c r="R744" s="39"/>
      <c r="Y744" s="39"/>
      <c r="AF744" s="39"/>
      <c r="AM744" s="40"/>
      <c r="AT744" s="40"/>
      <c r="BA744" s="41"/>
      <c r="BH744" s="42"/>
      <c r="BO744" s="42"/>
      <c r="BP744" s="43"/>
      <c r="CB744" s="44"/>
      <c r="CC744" s="39"/>
      <c r="CD744" s="39"/>
      <c r="CE744" s="39"/>
      <c r="CF744" s="40"/>
      <c r="CG744" s="40"/>
      <c r="CH744" s="41"/>
      <c r="CI744" s="45"/>
      <c r="CJ744" s="45"/>
      <c r="CK744" s="45"/>
      <c r="CL744" s="45"/>
    </row>
    <row r="745" ht="15.75" customHeight="1">
      <c r="K745" s="38"/>
      <c r="R745" s="39"/>
      <c r="Y745" s="39"/>
      <c r="AF745" s="39"/>
      <c r="AM745" s="40"/>
      <c r="AT745" s="40"/>
      <c r="BA745" s="41"/>
      <c r="BH745" s="42"/>
      <c r="BO745" s="42"/>
      <c r="BP745" s="43"/>
      <c r="CB745" s="44"/>
      <c r="CC745" s="39"/>
      <c r="CD745" s="39"/>
      <c r="CE745" s="39"/>
      <c r="CF745" s="40"/>
      <c r="CG745" s="40"/>
      <c r="CH745" s="41"/>
      <c r="CI745" s="45"/>
      <c r="CJ745" s="45"/>
      <c r="CK745" s="45"/>
      <c r="CL745" s="45"/>
    </row>
    <row r="746" ht="15.75" customHeight="1">
      <c r="K746" s="38"/>
      <c r="R746" s="39"/>
      <c r="Y746" s="39"/>
      <c r="AF746" s="39"/>
      <c r="AM746" s="40"/>
      <c r="AT746" s="40"/>
      <c r="BA746" s="41"/>
      <c r="BH746" s="42"/>
      <c r="BO746" s="42"/>
      <c r="BP746" s="43"/>
      <c r="CB746" s="44"/>
      <c r="CC746" s="39"/>
      <c r="CD746" s="39"/>
      <c r="CE746" s="39"/>
      <c r="CF746" s="40"/>
      <c r="CG746" s="40"/>
      <c r="CH746" s="41"/>
      <c r="CI746" s="45"/>
      <c r="CJ746" s="45"/>
      <c r="CK746" s="45"/>
      <c r="CL746" s="45"/>
    </row>
    <row r="747" ht="15.75" customHeight="1">
      <c r="K747" s="38"/>
      <c r="R747" s="39"/>
      <c r="Y747" s="39"/>
      <c r="AF747" s="39"/>
      <c r="AM747" s="40"/>
      <c r="AT747" s="40"/>
      <c r="BA747" s="41"/>
      <c r="BH747" s="42"/>
      <c r="BO747" s="42"/>
      <c r="BP747" s="43"/>
      <c r="CB747" s="44"/>
      <c r="CC747" s="39"/>
      <c r="CD747" s="39"/>
      <c r="CE747" s="39"/>
      <c r="CF747" s="40"/>
      <c r="CG747" s="40"/>
      <c r="CH747" s="41"/>
      <c r="CI747" s="45"/>
      <c r="CJ747" s="45"/>
      <c r="CK747" s="45"/>
      <c r="CL747" s="45"/>
    </row>
    <row r="748" ht="15.75" customHeight="1">
      <c r="K748" s="38"/>
      <c r="R748" s="39"/>
      <c r="Y748" s="39"/>
      <c r="AF748" s="39"/>
      <c r="AM748" s="40"/>
      <c r="AT748" s="40"/>
      <c r="BA748" s="41"/>
      <c r="BH748" s="42"/>
      <c r="BO748" s="42"/>
      <c r="BP748" s="43"/>
      <c r="CB748" s="44"/>
      <c r="CC748" s="39"/>
      <c r="CD748" s="39"/>
      <c r="CE748" s="39"/>
      <c r="CF748" s="40"/>
      <c r="CG748" s="40"/>
      <c r="CH748" s="41"/>
      <c r="CI748" s="45"/>
      <c r="CJ748" s="45"/>
      <c r="CK748" s="45"/>
      <c r="CL748" s="45"/>
    </row>
    <row r="749" ht="15.75" customHeight="1">
      <c r="K749" s="38"/>
      <c r="R749" s="39"/>
      <c r="Y749" s="39"/>
      <c r="AF749" s="39"/>
      <c r="AM749" s="40"/>
      <c r="AT749" s="40"/>
      <c r="BA749" s="41"/>
      <c r="BH749" s="42"/>
      <c r="BO749" s="42"/>
      <c r="BP749" s="43"/>
      <c r="CB749" s="44"/>
      <c r="CC749" s="39"/>
      <c r="CD749" s="39"/>
      <c r="CE749" s="39"/>
      <c r="CF749" s="40"/>
      <c r="CG749" s="40"/>
      <c r="CH749" s="41"/>
      <c r="CI749" s="45"/>
      <c r="CJ749" s="45"/>
      <c r="CK749" s="45"/>
      <c r="CL749" s="45"/>
    </row>
    <row r="750" ht="15.75" customHeight="1">
      <c r="K750" s="38"/>
      <c r="R750" s="39"/>
      <c r="Y750" s="39"/>
      <c r="AF750" s="39"/>
      <c r="AM750" s="40"/>
      <c r="AT750" s="40"/>
      <c r="BA750" s="41"/>
      <c r="BH750" s="42"/>
      <c r="BO750" s="42"/>
      <c r="BP750" s="43"/>
      <c r="CB750" s="44"/>
      <c r="CC750" s="39"/>
      <c r="CD750" s="39"/>
      <c r="CE750" s="39"/>
      <c r="CF750" s="40"/>
      <c r="CG750" s="40"/>
      <c r="CH750" s="41"/>
      <c r="CI750" s="45"/>
      <c r="CJ750" s="45"/>
      <c r="CK750" s="45"/>
      <c r="CL750" s="45"/>
    </row>
    <row r="751" ht="15.75" customHeight="1">
      <c r="K751" s="38"/>
      <c r="R751" s="39"/>
      <c r="Y751" s="39"/>
      <c r="AF751" s="39"/>
      <c r="AM751" s="40"/>
      <c r="AT751" s="40"/>
      <c r="BA751" s="41"/>
      <c r="BH751" s="42"/>
      <c r="BO751" s="42"/>
      <c r="BP751" s="43"/>
      <c r="CB751" s="44"/>
      <c r="CC751" s="39"/>
      <c r="CD751" s="39"/>
      <c r="CE751" s="39"/>
      <c r="CF751" s="40"/>
      <c r="CG751" s="40"/>
      <c r="CH751" s="41"/>
      <c r="CI751" s="45"/>
      <c r="CJ751" s="45"/>
      <c r="CK751" s="45"/>
      <c r="CL751" s="45"/>
    </row>
    <row r="752" ht="15.75" customHeight="1">
      <c r="K752" s="38"/>
      <c r="R752" s="39"/>
      <c r="Y752" s="39"/>
      <c r="AF752" s="39"/>
      <c r="AM752" s="40"/>
      <c r="AT752" s="40"/>
      <c r="BA752" s="41"/>
      <c r="BH752" s="42"/>
      <c r="BO752" s="42"/>
      <c r="BP752" s="43"/>
      <c r="CB752" s="44"/>
      <c r="CC752" s="39"/>
      <c r="CD752" s="39"/>
      <c r="CE752" s="39"/>
      <c r="CF752" s="40"/>
      <c r="CG752" s="40"/>
      <c r="CH752" s="41"/>
      <c r="CI752" s="45"/>
      <c r="CJ752" s="45"/>
      <c r="CK752" s="45"/>
      <c r="CL752" s="45"/>
    </row>
    <row r="753" ht="15.75" customHeight="1">
      <c r="K753" s="38"/>
      <c r="R753" s="39"/>
      <c r="Y753" s="39"/>
      <c r="AF753" s="39"/>
      <c r="AM753" s="40"/>
      <c r="AT753" s="40"/>
      <c r="BA753" s="41"/>
      <c r="BH753" s="42"/>
      <c r="BO753" s="42"/>
      <c r="BP753" s="43"/>
      <c r="CB753" s="44"/>
      <c r="CC753" s="39"/>
      <c r="CD753" s="39"/>
      <c r="CE753" s="39"/>
      <c r="CF753" s="40"/>
      <c r="CG753" s="40"/>
      <c r="CH753" s="41"/>
      <c r="CI753" s="45"/>
      <c r="CJ753" s="45"/>
      <c r="CK753" s="45"/>
      <c r="CL753" s="45"/>
    </row>
    <row r="754" ht="15.75" customHeight="1">
      <c r="K754" s="38"/>
      <c r="R754" s="39"/>
      <c r="Y754" s="39"/>
      <c r="AF754" s="39"/>
      <c r="AM754" s="40"/>
      <c r="AT754" s="40"/>
      <c r="BA754" s="41"/>
      <c r="BH754" s="42"/>
      <c r="BO754" s="42"/>
      <c r="BP754" s="43"/>
      <c r="CB754" s="44"/>
      <c r="CC754" s="39"/>
      <c r="CD754" s="39"/>
      <c r="CE754" s="39"/>
      <c r="CF754" s="40"/>
      <c r="CG754" s="40"/>
      <c r="CH754" s="41"/>
      <c r="CI754" s="45"/>
      <c r="CJ754" s="45"/>
      <c r="CK754" s="45"/>
      <c r="CL754" s="45"/>
    </row>
    <row r="755" ht="15.75" customHeight="1">
      <c r="K755" s="38"/>
      <c r="R755" s="39"/>
      <c r="Y755" s="39"/>
      <c r="AF755" s="39"/>
      <c r="AM755" s="40"/>
      <c r="AT755" s="40"/>
      <c r="BA755" s="41"/>
      <c r="BH755" s="42"/>
      <c r="BO755" s="42"/>
      <c r="BP755" s="43"/>
      <c r="CB755" s="44"/>
      <c r="CC755" s="39"/>
      <c r="CD755" s="39"/>
      <c r="CE755" s="39"/>
      <c r="CF755" s="40"/>
      <c r="CG755" s="40"/>
      <c r="CH755" s="41"/>
      <c r="CI755" s="45"/>
      <c r="CJ755" s="45"/>
      <c r="CK755" s="45"/>
      <c r="CL755" s="45"/>
    </row>
    <row r="756" ht="15.75" customHeight="1">
      <c r="K756" s="38"/>
      <c r="R756" s="39"/>
      <c r="Y756" s="39"/>
      <c r="AF756" s="39"/>
      <c r="AM756" s="40"/>
      <c r="AT756" s="40"/>
      <c r="BA756" s="41"/>
      <c r="BH756" s="42"/>
      <c r="BO756" s="42"/>
      <c r="BP756" s="43"/>
      <c r="CB756" s="44"/>
      <c r="CC756" s="39"/>
      <c r="CD756" s="39"/>
      <c r="CE756" s="39"/>
      <c r="CF756" s="40"/>
      <c r="CG756" s="40"/>
      <c r="CH756" s="41"/>
      <c r="CI756" s="45"/>
      <c r="CJ756" s="45"/>
      <c r="CK756" s="45"/>
      <c r="CL756" s="45"/>
    </row>
    <row r="757" ht="15.75" customHeight="1">
      <c r="K757" s="38"/>
      <c r="R757" s="39"/>
      <c r="Y757" s="39"/>
      <c r="AF757" s="39"/>
      <c r="AM757" s="40"/>
      <c r="AT757" s="40"/>
      <c r="BA757" s="41"/>
      <c r="BH757" s="42"/>
      <c r="BO757" s="42"/>
      <c r="BP757" s="43"/>
      <c r="CB757" s="44"/>
      <c r="CC757" s="39"/>
      <c r="CD757" s="39"/>
      <c r="CE757" s="39"/>
      <c r="CF757" s="40"/>
      <c r="CG757" s="40"/>
      <c r="CH757" s="41"/>
      <c r="CI757" s="45"/>
      <c r="CJ757" s="45"/>
      <c r="CK757" s="45"/>
      <c r="CL757" s="45"/>
    </row>
    <row r="758" ht="15.75" customHeight="1">
      <c r="K758" s="38"/>
      <c r="R758" s="39"/>
      <c r="Y758" s="39"/>
      <c r="AF758" s="39"/>
      <c r="AM758" s="40"/>
      <c r="AT758" s="40"/>
      <c r="BA758" s="41"/>
      <c r="BH758" s="42"/>
      <c r="BO758" s="42"/>
      <c r="BP758" s="43"/>
      <c r="CB758" s="44"/>
      <c r="CC758" s="39"/>
      <c r="CD758" s="39"/>
      <c r="CE758" s="39"/>
      <c r="CF758" s="40"/>
      <c r="CG758" s="40"/>
      <c r="CH758" s="41"/>
      <c r="CI758" s="45"/>
      <c r="CJ758" s="45"/>
      <c r="CK758" s="45"/>
      <c r="CL758" s="45"/>
    </row>
    <row r="759" ht="15.75" customHeight="1">
      <c r="K759" s="38"/>
      <c r="R759" s="39"/>
      <c r="Y759" s="39"/>
      <c r="AF759" s="39"/>
      <c r="AM759" s="40"/>
      <c r="AT759" s="40"/>
      <c r="BA759" s="41"/>
      <c r="BH759" s="42"/>
      <c r="BO759" s="42"/>
      <c r="BP759" s="43"/>
      <c r="CB759" s="44"/>
      <c r="CC759" s="39"/>
      <c r="CD759" s="39"/>
      <c r="CE759" s="39"/>
      <c r="CF759" s="40"/>
      <c r="CG759" s="40"/>
      <c r="CH759" s="41"/>
      <c r="CI759" s="45"/>
      <c r="CJ759" s="45"/>
      <c r="CK759" s="45"/>
      <c r="CL759" s="45"/>
    </row>
    <row r="760" ht="15.75" customHeight="1">
      <c r="K760" s="38"/>
      <c r="R760" s="39"/>
      <c r="Y760" s="39"/>
      <c r="AF760" s="39"/>
      <c r="AM760" s="40"/>
      <c r="AT760" s="40"/>
      <c r="BA760" s="41"/>
      <c r="BH760" s="42"/>
      <c r="BO760" s="42"/>
      <c r="BP760" s="43"/>
      <c r="CB760" s="44"/>
      <c r="CC760" s="39"/>
      <c r="CD760" s="39"/>
      <c r="CE760" s="39"/>
      <c r="CF760" s="40"/>
      <c r="CG760" s="40"/>
      <c r="CH760" s="41"/>
      <c r="CI760" s="45"/>
      <c r="CJ760" s="45"/>
      <c r="CK760" s="45"/>
      <c r="CL760" s="45"/>
    </row>
    <row r="761" ht="15.75" customHeight="1">
      <c r="K761" s="38"/>
      <c r="R761" s="39"/>
      <c r="Y761" s="39"/>
      <c r="AF761" s="39"/>
      <c r="AM761" s="40"/>
      <c r="AT761" s="40"/>
      <c r="BA761" s="41"/>
      <c r="BH761" s="42"/>
      <c r="BO761" s="42"/>
      <c r="BP761" s="43"/>
      <c r="CB761" s="44"/>
      <c r="CC761" s="39"/>
      <c r="CD761" s="39"/>
      <c r="CE761" s="39"/>
      <c r="CF761" s="40"/>
      <c r="CG761" s="40"/>
      <c r="CH761" s="41"/>
      <c r="CI761" s="45"/>
      <c r="CJ761" s="45"/>
      <c r="CK761" s="45"/>
      <c r="CL761" s="45"/>
    </row>
    <row r="762" ht="15.75" customHeight="1">
      <c r="K762" s="38"/>
      <c r="R762" s="39"/>
      <c r="Y762" s="39"/>
      <c r="AF762" s="39"/>
      <c r="AM762" s="40"/>
      <c r="AT762" s="40"/>
      <c r="BA762" s="41"/>
      <c r="BH762" s="42"/>
      <c r="BO762" s="42"/>
      <c r="BP762" s="43"/>
      <c r="CB762" s="44"/>
      <c r="CC762" s="39"/>
      <c r="CD762" s="39"/>
      <c r="CE762" s="39"/>
      <c r="CF762" s="40"/>
      <c r="CG762" s="40"/>
      <c r="CH762" s="41"/>
      <c r="CI762" s="45"/>
      <c r="CJ762" s="45"/>
      <c r="CK762" s="45"/>
      <c r="CL762" s="45"/>
    </row>
    <row r="763" ht="15.75" customHeight="1">
      <c r="K763" s="38"/>
      <c r="R763" s="39"/>
      <c r="Y763" s="39"/>
      <c r="AF763" s="39"/>
      <c r="AM763" s="40"/>
      <c r="AT763" s="40"/>
      <c r="BA763" s="41"/>
      <c r="BH763" s="42"/>
      <c r="BO763" s="42"/>
      <c r="BP763" s="43"/>
      <c r="CB763" s="44"/>
      <c r="CC763" s="39"/>
      <c r="CD763" s="39"/>
      <c r="CE763" s="39"/>
      <c r="CF763" s="40"/>
      <c r="CG763" s="40"/>
      <c r="CH763" s="41"/>
      <c r="CI763" s="45"/>
      <c r="CJ763" s="45"/>
      <c r="CK763" s="45"/>
      <c r="CL763" s="45"/>
    </row>
    <row r="764" ht="15.75" customHeight="1">
      <c r="K764" s="38"/>
      <c r="R764" s="39"/>
      <c r="Y764" s="39"/>
      <c r="AF764" s="39"/>
      <c r="AM764" s="40"/>
      <c r="AT764" s="40"/>
      <c r="BA764" s="41"/>
      <c r="BH764" s="42"/>
      <c r="BO764" s="42"/>
      <c r="BP764" s="43"/>
      <c r="CB764" s="44"/>
      <c r="CC764" s="39"/>
      <c r="CD764" s="39"/>
      <c r="CE764" s="39"/>
      <c r="CF764" s="40"/>
      <c r="CG764" s="40"/>
      <c r="CH764" s="41"/>
      <c r="CI764" s="45"/>
      <c r="CJ764" s="45"/>
      <c r="CK764" s="45"/>
      <c r="CL764" s="45"/>
    </row>
    <row r="765" ht="15.75" customHeight="1">
      <c r="K765" s="38"/>
      <c r="R765" s="39"/>
      <c r="Y765" s="39"/>
      <c r="AF765" s="39"/>
      <c r="AM765" s="40"/>
      <c r="AT765" s="40"/>
      <c r="BA765" s="41"/>
      <c r="BH765" s="42"/>
      <c r="BO765" s="42"/>
      <c r="BP765" s="43"/>
      <c r="CB765" s="44"/>
      <c r="CC765" s="39"/>
      <c r="CD765" s="39"/>
      <c r="CE765" s="39"/>
      <c r="CF765" s="40"/>
      <c r="CG765" s="40"/>
      <c r="CH765" s="41"/>
      <c r="CI765" s="45"/>
      <c r="CJ765" s="45"/>
      <c r="CK765" s="45"/>
      <c r="CL765" s="45"/>
    </row>
    <row r="766" ht="15.75" customHeight="1">
      <c r="K766" s="38"/>
      <c r="R766" s="39"/>
      <c r="Y766" s="39"/>
      <c r="AF766" s="39"/>
      <c r="AM766" s="40"/>
      <c r="AT766" s="40"/>
      <c r="BA766" s="41"/>
      <c r="BH766" s="42"/>
      <c r="BO766" s="42"/>
      <c r="BP766" s="43"/>
      <c r="CB766" s="44"/>
      <c r="CC766" s="39"/>
      <c r="CD766" s="39"/>
      <c r="CE766" s="39"/>
      <c r="CF766" s="40"/>
      <c r="CG766" s="40"/>
      <c r="CH766" s="41"/>
      <c r="CI766" s="45"/>
      <c r="CJ766" s="45"/>
      <c r="CK766" s="45"/>
      <c r="CL766" s="45"/>
    </row>
    <row r="767" ht="15.75" customHeight="1">
      <c r="K767" s="38"/>
      <c r="R767" s="39"/>
      <c r="Y767" s="39"/>
      <c r="AF767" s="39"/>
      <c r="AM767" s="40"/>
      <c r="AT767" s="40"/>
      <c r="BA767" s="41"/>
      <c r="BH767" s="42"/>
      <c r="BO767" s="42"/>
      <c r="BP767" s="43"/>
      <c r="CB767" s="44"/>
      <c r="CC767" s="39"/>
      <c r="CD767" s="39"/>
      <c r="CE767" s="39"/>
      <c r="CF767" s="40"/>
      <c r="CG767" s="40"/>
      <c r="CH767" s="41"/>
      <c r="CI767" s="45"/>
      <c r="CJ767" s="45"/>
      <c r="CK767" s="45"/>
      <c r="CL767" s="45"/>
    </row>
    <row r="768" ht="15.75" customHeight="1">
      <c r="K768" s="38"/>
      <c r="R768" s="39"/>
      <c r="Y768" s="39"/>
      <c r="AF768" s="39"/>
      <c r="AM768" s="40"/>
      <c r="AT768" s="40"/>
      <c r="BA768" s="41"/>
      <c r="BH768" s="42"/>
      <c r="BO768" s="42"/>
      <c r="BP768" s="43"/>
      <c r="CB768" s="44"/>
      <c r="CC768" s="39"/>
      <c r="CD768" s="39"/>
      <c r="CE768" s="39"/>
      <c r="CF768" s="40"/>
      <c r="CG768" s="40"/>
      <c r="CH768" s="41"/>
      <c r="CI768" s="45"/>
      <c r="CJ768" s="45"/>
      <c r="CK768" s="45"/>
      <c r="CL768" s="45"/>
    </row>
    <row r="769" ht="15.75" customHeight="1">
      <c r="K769" s="38"/>
      <c r="R769" s="39"/>
      <c r="Y769" s="39"/>
      <c r="AF769" s="39"/>
      <c r="AM769" s="40"/>
      <c r="AT769" s="40"/>
      <c r="BA769" s="41"/>
      <c r="BH769" s="42"/>
      <c r="BO769" s="42"/>
      <c r="BP769" s="43"/>
      <c r="CB769" s="44"/>
      <c r="CC769" s="39"/>
      <c r="CD769" s="39"/>
      <c r="CE769" s="39"/>
      <c r="CF769" s="40"/>
      <c r="CG769" s="40"/>
      <c r="CH769" s="41"/>
      <c r="CI769" s="45"/>
      <c r="CJ769" s="45"/>
      <c r="CK769" s="45"/>
      <c r="CL769" s="45"/>
    </row>
    <row r="770" ht="15.75" customHeight="1">
      <c r="K770" s="38"/>
      <c r="R770" s="39"/>
      <c r="Y770" s="39"/>
      <c r="AF770" s="39"/>
      <c r="AM770" s="40"/>
      <c r="AT770" s="40"/>
      <c r="BA770" s="41"/>
      <c r="BH770" s="42"/>
      <c r="BO770" s="42"/>
      <c r="BP770" s="43"/>
      <c r="CB770" s="44"/>
      <c r="CC770" s="39"/>
      <c r="CD770" s="39"/>
      <c r="CE770" s="39"/>
      <c r="CF770" s="40"/>
      <c r="CG770" s="40"/>
      <c r="CH770" s="41"/>
      <c r="CI770" s="45"/>
      <c r="CJ770" s="45"/>
      <c r="CK770" s="45"/>
      <c r="CL770" s="45"/>
    </row>
    <row r="771" ht="15.75" customHeight="1">
      <c r="K771" s="38"/>
      <c r="R771" s="39"/>
      <c r="Y771" s="39"/>
      <c r="AF771" s="39"/>
      <c r="AM771" s="40"/>
      <c r="AT771" s="40"/>
      <c r="BA771" s="41"/>
      <c r="BH771" s="42"/>
      <c r="BO771" s="42"/>
      <c r="BP771" s="43"/>
      <c r="CB771" s="44"/>
      <c r="CC771" s="39"/>
      <c r="CD771" s="39"/>
      <c r="CE771" s="39"/>
      <c r="CF771" s="40"/>
      <c r="CG771" s="40"/>
      <c r="CH771" s="41"/>
      <c r="CI771" s="45"/>
      <c r="CJ771" s="45"/>
      <c r="CK771" s="45"/>
      <c r="CL771" s="45"/>
    </row>
    <row r="772" ht="15.75" customHeight="1">
      <c r="K772" s="38"/>
      <c r="R772" s="39"/>
      <c r="Y772" s="39"/>
      <c r="AF772" s="39"/>
      <c r="AM772" s="40"/>
      <c r="AT772" s="40"/>
      <c r="BA772" s="41"/>
      <c r="BH772" s="42"/>
      <c r="BO772" s="42"/>
      <c r="BP772" s="43"/>
      <c r="CB772" s="44"/>
      <c r="CC772" s="39"/>
      <c r="CD772" s="39"/>
      <c r="CE772" s="39"/>
      <c r="CF772" s="40"/>
      <c r="CG772" s="40"/>
      <c r="CH772" s="41"/>
      <c r="CI772" s="45"/>
      <c r="CJ772" s="45"/>
      <c r="CK772" s="45"/>
      <c r="CL772" s="45"/>
    </row>
    <row r="773" ht="15.75" customHeight="1">
      <c r="K773" s="38"/>
      <c r="R773" s="39"/>
      <c r="Y773" s="39"/>
      <c r="AF773" s="39"/>
      <c r="AM773" s="40"/>
      <c r="AT773" s="40"/>
      <c r="BA773" s="41"/>
      <c r="BH773" s="42"/>
      <c r="BO773" s="42"/>
      <c r="BP773" s="43"/>
      <c r="CB773" s="44"/>
      <c r="CC773" s="39"/>
      <c r="CD773" s="39"/>
      <c r="CE773" s="39"/>
      <c r="CF773" s="40"/>
      <c r="CG773" s="40"/>
      <c r="CH773" s="41"/>
      <c r="CI773" s="45"/>
      <c r="CJ773" s="45"/>
      <c r="CK773" s="45"/>
      <c r="CL773" s="45"/>
    </row>
    <row r="774" ht="15.75" customHeight="1">
      <c r="K774" s="38"/>
      <c r="R774" s="39"/>
      <c r="Y774" s="39"/>
      <c r="AF774" s="39"/>
      <c r="AM774" s="40"/>
      <c r="AT774" s="40"/>
      <c r="BA774" s="41"/>
      <c r="BH774" s="42"/>
      <c r="BO774" s="42"/>
      <c r="BP774" s="43"/>
      <c r="CB774" s="44"/>
      <c r="CC774" s="39"/>
      <c r="CD774" s="39"/>
      <c r="CE774" s="39"/>
      <c r="CF774" s="40"/>
      <c r="CG774" s="40"/>
      <c r="CH774" s="41"/>
      <c r="CI774" s="45"/>
      <c r="CJ774" s="45"/>
      <c r="CK774" s="45"/>
      <c r="CL774" s="45"/>
    </row>
    <row r="775" ht="15.75" customHeight="1">
      <c r="K775" s="38"/>
      <c r="R775" s="39"/>
      <c r="Y775" s="39"/>
      <c r="AF775" s="39"/>
      <c r="AM775" s="40"/>
      <c r="AT775" s="40"/>
      <c r="BA775" s="41"/>
      <c r="BH775" s="42"/>
      <c r="BO775" s="42"/>
      <c r="BP775" s="43"/>
      <c r="CB775" s="44"/>
      <c r="CC775" s="39"/>
      <c r="CD775" s="39"/>
      <c r="CE775" s="39"/>
      <c r="CF775" s="40"/>
      <c r="CG775" s="40"/>
      <c r="CH775" s="41"/>
      <c r="CI775" s="45"/>
      <c r="CJ775" s="45"/>
      <c r="CK775" s="45"/>
      <c r="CL775" s="45"/>
    </row>
    <row r="776" ht="15.75" customHeight="1">
      <c r="K776" s="38"/>
      <c r="R776" s="39"/>
      <c r="Y776" s="39"/>
      <c r="AF776" s="39"/>
      <c r="AM776" s="40"/>
      <c r="AT776" s="40"/>
      <c r="BA776" s="41"/>
      <c r="BH776" s="42"/>
      <c r="BO776" s="42"/>
      <c r="BP776" s="43"/>
      <c r="CB776" s="44"/>
      <c r="CC776" s="39"/>
      <c r="CD776" s="39"/>
      <c r="CE776" s="39"/>
      <c r="CF776" s="40"/>
      <c r="CG776" s="40"/>
      <c r="CH776" s="41"/>
      <c r="CI776" s="45"/>
      <c r="CJ776" s="45"/>
      <c r="CK776" s="45"/>
      <c r="CL776" s="45"/>
    </row>
    <row r="777" ht="15.75" customHeight="1">
      <c r="K777" s="38"/>
      <c r="R777" s="39"/>
      <c r="Y777" s="39"/>
      <c r="AF777" s="39"/>
      <c r="AM777" s="40"/>
      <c r="AT777" s="40"/>
      <c r="BA777" s="41"/>
      <c r="BH777" s="42"/>
      <c r="BO777" s="42"/>
      <c r="BP777" s="43"/>
      <c r="CB777" s="44"/>
      <c r="CC777" s="39"/>
      <c r="CD777" s="39"/>
      <c r="CE777" s="39"/>
      <c r="CF777" s="40"/>
      <c r="CG777" s="40"/>
      <c r="CH777" s="41"/>
      <c r="CI777" s="45"/>
      <c r="CJ777" s="45"/>
      <c r="CK777" s="45"/>
      <c r="CL777" s="45"/>
    </row>
    <row r="778" ht="15.75" customHeight="1">
      <c r="K778" s="38"/>
      <c r="R778" s="39"/>
      <c r="Y778" s="39"/>
      <c r="AF778" s="39"/>
      <c r="AM778" s="40"/>
      <c r="AT778" s="40"/>
      <c r="BA778" s="41"/>
      <c r="BH778" s="42"/>
      <c r="BO778" s="42"/>
      <c r="BP778" s="43"/>
      <c r="CB778" s="44"/>
      <c r="CC778" s="39"/>
      <c r="CD778" s="39"/>
      <c r="CE778" s="39"/>
      <c r="CF778" s="40"/>
      <c r="CG778" s="40"/>
      <c r="CH778" s="41"/>
      <c r="CI778" s="45"/>
      <c r="CJ778" s="45"/>
      <c r="CK778" s="45"/>
      <c r="CL778" s="45"/>
    </row>
    <row r="779" ht="15.75" customHeight="1">
      <c r="K779" s="38"/>
      <c r="R779" s="39"/>
      <c r="Y779" s="39"/>
      <c r="AF779" s="39"/>
      <c r="AM779" s="40"/>
      <c r="AT779" s="40"/>
      <c r="BA779" s="41"/>
      <c r="BH779" s="42"/>
      <c r="BO779" s="42"/>
      <c r="BP779" s="43"/>
      <c r="CB779" s="44"/>
      <c r="CC779" s="39"/>
      <c r="CD779" s="39"/>
      <c r="CE779" s="39"/>
      <c r="CF779" s="40"/>
      <c r="CG779" s="40"/>
      <c r="CH779" s="41"/>
      <c r="CI779" s="45"/>
      <c r="CJ779" s="45"/>
      <c r="CK779" s="45"/>
      <c r="CL779" s="45"/>
    </row>
    <row r="780" ht="15.75" customHeight="1">
      <c r="K780" s="38"/>
      <c r="R780" s="39"/>
      <c r="Y780" s="39"/>
      <c r="AF780" s="39"/>
      <c r="AM780" s="40"/>
      <c r="AT780" s="40"/>
      <c r="BA780" s="41"/>
      <c r="BH780" s="42"/>
      <c r="BO780" s="42"/>
      <c r="BP780" s="43"/>
      <c r="CB780" s="44"/>
      <c r="CC780" s="39"/>
      <c r="CD780" s="39"/>
      <c r="CE780" s="39"/>
      <c r="CF780" s="40"/>
      <c r="CG780" s="40"/>
      <c r="CH780" s="41"/>
      <c r="CI780" s="45"/>
      <c r="CJ780" s="45"/>
      <c r="CK780" s="45"/>
      <c r="CL780" s="45"/>
    </row>
    <row r="781" ht="15.75" customHeight="1">
      <c r="K781" s="38"/>
      <c r="R781" s="39"/>
      <c r="Y781" s="39"/>
      <c r="AF781" s="39"/>
      <c r="AM781" s="40"/>
      <c r="AT781" s="40"/>
      <c r="BA781" s="41"/>
      <c r="BH781" s="42"/>
      <c r="BO781" s="42"/>
      <c r="BP781" s="43"/>
      <c r="CB781" s="44"/>
      <c r="CC781" s="39"/>
      <c r="CD781" s="39"/>
      <c r="CE781" s="39"/>
      <c r="CF781" s="40"/>
      <c r="CG781" s="40"/>
      <c r="CH781" s="41"/>
      <c r="CI781" s="45"/>
      <c r="CJ781" s="45"/>
      <c r="CK781" s="45"/>
      <c r="CL781" s="45"/>
    </row>
    <row r="782" ht="15.75" customHeight="1">
      <c r="K782" s="38"/>
      <c r="R782" s="39"/>
      <c r="Y782" s="39"/>
      <c r="AF782" s="39"/>
      <c r="AM782" s="40"/>
      <c r="AT782" s="40"/>
      <c r="BA782" s="41"/>
      <c r="BH782" s="42"/>
      <c r="BO782" s="42"/>
      <c r="BP782" s="43"/>
      <c r="CB782" s="44"/>
      <c r="CC782" s="39"/>
      <c r="CD782" s="39"/>
      <c r="CE782" s="39"/>
      <c r="CF782" s="40"/>
      <c r="CG782" s="40"/>
      <c r="CH782" s="41"/>
      <c r="CI782" s="45"/>
      <c r="CJ782" s="45"/>
      <c r="CK782" s="45"/>
      <c r="CL782" s="45"/>
    </row>
    <row r="783" ht="15.75" customHeight="1">
      <c r="K783" s="38"/>
      <c r="R783" s="39"/>
      <c r="Y783" s="39"/>
      <c r="AF783" s="39"/>
      <c r="AM783" s="40"/>
      <c r="AT783" s="40"/>
      <c r="BA783" s="41"/>
      <c r="BH783" s="42"/>
      <c r="BO783" s="42"/>
      <c r="BP783" s="43"/>
      <c r="CB783" s="44"/>
      <c r="CC783" s="39"/>
      <c r="CD783" s="39"/>
      <c r="CE783" s="39"/>
      <c r="CF783" s="40"/>
      <c r="CG783" s="40"/>
      <c r="CH783" s="41"/>
      <c r="CI783" s="45"/>
      <c r="CJ783" s="45"/>
      <c r="CK783" s="45"/>
      <c r="CL783" s="45"/>
    </row>
    <row r="784" ht="15.75" customHeight="1">
      <c r="K784" s="38"/>
      <c r="R784" s="39"/>
      <c r="Y784" s="39"/>
      <c r="AF784" s="39"/>
      <c r="AM784" s="40"/>
      <c r="AT784" s="40"/>
      <c r="BA784" s="41"/>
      <c r="BH784" s="42"/>
      <c r="BO784" s="42"/>
      <c r="BP784" s="43"/>
      <c r="CB784" s="44"/>
      <c r="CC784" s="39"/>
      <c r="CD784" s="39"/>
      <c r="CE784" s="39"/>
      <c r="CF784" s="40"/>
      <c r="CG784" s="40"/>
      <c r="CH784" s="41"/>
      <c r="CI784" s="45"/>
      <c r="CJ784" s="45"/>
      <c r="CK784" s="45"/>
      <c r="CL784" s="45"/>
    </row>
    <row r="785" ht="15.75" customHeight="1">
      <c r="K785" s="38"/>
      <c r="R785" s="39"/>
      <c r="Y785" s="39"/>
      <c r="AF785" s="39"/>
      <c r="AM785" s="40"/>
      <c r="AT785" s="40"/>
      <c r="BA785" s="41"/>
      <c r="BH785" s="42"/>
      <c r="BO785" s="42"/>
      <c r="BP785" s="43"/>
      <c r="CB785" s="44"/>
      <c r="CC785" s="39"/>
      <c r="CD785" s="39"/>
      <c r="CE785" s="39"/>
      <c r="CF785" s="40"/>
      <c r="CG785" s="40"/>
      <c r="CH785" s="41"/>
      <c r="CI785" s="45"/>
      <c r="CJ785" s="45"/>
      <c r="CK785" s="45"/>
      <c r="CL785" s="45"/>
    </row>
    <row r="786" ht="15.75" customHeight="1">
      <c r="K786" s="38"/>
      <c r="R786" s="39"/>
      <c r="Y786" s="39"/>
      <c r="AF786" s="39"/>
      <c r="AM786" s="40"/>
      <c r="AT786" s="40"/>
      <c r="BA786" s="41"/>
      <c r="BH786" s="42"/>
      <c r="BO786" s="42"/>
      <c r="BP786" s="43"/>
      <c r="CB786" s="44"/>
      <c r="CC786" s="39"/>
      <c r="CD786" s="39"/>
      <c r="CE786" s="39"/>
      <c r="CF786" s="40"/>
      <c r="CG786" s="40"/>
      <c r="CH786" s="41"/>
      <c r="CI786" s="45"/>
      <c r="CJ786" s="45"/>
      <c r="CK786" s="45"/>
      <c r="CL786" s="45"/>
    </row>
    <row r="787" ht="15.75" customHeight="1">
      <c r="K787" s="38"/>
      <c r="R787" s="39"/>
      <c r="Y787" s="39"/>
      <c r="AF787" s="39"/>
      <c r="AM787" s="40"/>
      <c r="AT787" s="40"/>
      <c r="BA787" s="41"/>
      <c r="BH787" s="42"/>
      <c r="BO787" s="42"/>
      <c r="BP787" s="43"/>
      <c r="CB787" s="44"/>
      <c r="CC787" s="39"/>
      <c r="CD787" s="39"/>
      <c r="CE787" s="39"/>
      <c r="CF787" s="40"/>
      <c r="CG787" s="40"/>
      <c r="CH787" s="41"/>
      <c r="CI787" s="45"/>
      <c r="CJ787" s="45"/>
      <c r="CK787" s="45"/>
      <c r="CL787" s="45"/>
    </row>
    <row r="788" ht="15.75" customHeight="1">
      <c r="K788" s="38"/>
      <c r="R788" s="39"/>
      <c r="Y788" s="39"/>
      <c r="AF788" s="39"/>
      <c r="AM788" s="40"/>
      <c r="AT788" s="40"/>
      <c r="BA788" s="41"/>
      <c r="BH788" s="42"/>
      <c r="BO788" s="42"/>
      <c r="BP788" s="43"/>
      <c r="CB788" s="44"/>
      <c r="CC788" s="39"/>
      <c r="CD788" s="39"/>
      <c r="CE788" s="39"/>
      <c r="CF788" s="40"/>
      <c r="CG788" s="40"/>
      <c r="CH788" s="41"/>
      <c r="CI788" s="45"/>
      <c r="CJ788" s="45"/>
      <c r="CK788" s="45"/>
      <c r="CL788" s="45"/>
    </row>
    <row r="789" ht="15.75" customHeight="1">
      <c r="K789" s="38"/>
      <c r="R789" s="39"/>
      <c r="Y789" s="39"/>
      <c r="AF789" s="39"/>
      <c r="AM789" s="40"/>
      <c r="AT789" s="40"/>
      <c r="BA789" s="41"/>
      <c r="BH789" s="42"/>
      <c r="BO789" s="42"/>
      <c r="BP789" s="43"/>
      <c r="CB789" s="44"/>
      <c r="CC789" s="39"/>
      <c r="CD789" s="39"/>
      <c r="CE789" s="39"/>
      <c r="CF789" s="40"/>
      <c r="CG789" s="40"/>
      <c r="CH789" s="41"/>
      <c r="CI789" s="45"/>
      <c r="CJ789" s="45"/>
      <c r="CK789" s="45"/>
      <c r="CL789" s="45"/>
    </row>
    <row r="790" ht="15.75" customHeight="1">
      <c r="K790" s="38"/>
      <c r="R790" s="39"/>
      <c r="Y790" s="39"/>
      <c r="AF790" s="39"/>
      <c r="AM790" s="40"/>
      <c r="AT790" s="40"/>
      <c r="BA790" s="41"/>
      <c r="BH790" s="42"/>
      <c r="BO790" s="42"/>
      <c r="BP790" s="43"/>
      <c r="CB790" s="44"/>
      <c r="CC790" s="39"/>
      <c r="CD790" s="39"/>
      <c r="CE790" s="39"/>
      <c r="CF790" s="40"/>
      <c r="CG790" s="40"/>
      <c r="CH790" s="41"/>
      <c r="CI790" s="45"/>
      <c r="CJ790" s="45"/>
      <c r="CK790" s="45"/>
      <c r="CL790" s="45"/>
    </row>
    <row r="791" ht="15.75" customHeight="1">
      <c r="K791" s="38"/>
      <c r="R791" s="39"/>
      <c r="Y791" s="39"/>
      <c r="AF791" s="39"/>
      <c r="AM791" s="40"/>
      <c r="AT791" s="40"/>
      <c r="BA791" s="41"/>
      <c r="BH791" s="42"/>
      <c r="BO791" s="42"/>
      <c r="BP791" s="43"/>
      <c r="CB791" s="44"/>
      <c r="CC791" s="39"/>
      <c r="CD791" s="39"/>
      <c r="CE791" s="39"/>
      <c r="CF791" s="40"/>
      <c r="CG791" s="40"/>
      <c r="CH791" s="41"/>
      <c r="CI791" s="45"/>
      <c r="CJ791" s="45"/>
      <c r="CK791" s="45"/>
      <c r="CL791" s="45"/>
    </row>
    <row r="792" ht="15.75" customHeight="1">
      <c r="K792" s="38"/>
      <c r="R792" s="39"/>
      <c r="Y792" s="39"/>
      <c r="AF792" s="39"/>
      <c r="AM792" s="40"/>
      <c r="AT792" s="40"/>
      <c r="BA792" s="41"/>
      <c r="BH792" s="42"/>
      <c r="BO792" s="42"/>
      <c r="BP792" s="43"/>
      <c r="CB792" s="44"/>
      <c r="CC792" s="39"/>
      <c r="CD792" s="39"/>
      <c r="CE792" s="39"/>
      <c r="CF792" s="40"/>
      <c r="CG792" s="40"/>
      <c r="CH792" s="41"/>
      <c r="CI792" s="45"/>
      <c r="CJ792" s="45"/>
      <c r="CK792" s="45"/>
      <c r="CL792" s="45"/>
    </row>
    <row r="793" ht="15.75" customHeight="1">
      <c r="K793" s="38"/>
      <c r="R793" s="39"/>
      <c r="Y793" s="39"/>
      <c r="AF793" s="39"/>
      <c r="AM793" s="40"/>
      <c r="AT793" s="40"/>
      <c r="BA793" s="41"/>
      <c r="BH793" s="42"/>
      <c r="BO793" s="42"/>
      <c r="BP793" s="43"/>
      <c r="CB793" s="44"/>
      <c r="CC793" s="39"/>
      <c r="CD793" s="39"/>
      <c r="CE793" s="39"/>
      <c r="CF793" s="40"/>
      <c r="CG793" s="40"/>
      <c r="CH793" s="41"/>
      <c r="CI793" s="45"/>
      <c r="CJ793" s="45"/>
      <c r="CK793" s="45"/>
      <c r="CL793" s="45"/>
    </row>
    <row r="794" ht="15.75" customHeight="1">
      <c r="K794" s="38"/>
      <c r="R794" s="39"/>
      <c r="Y794" s="39"/>
      <c r="AF794" s="39"/>
      <c r="AM794" s="40"/>
      <c r="AT794" s="40"/>
      <c r="BA794" s="41"/>
      <c r="BH794" s="42"/>
      <c r="BO794" s="42"/>
      <c r="BP794" s="43"/>
      <c r="CB794" s="44"/>
      <c r="CC794" s="39"/>
      <c r="CD794" s="39"/>
      <c r="CE794" s="39"/>
      <c r="CF794" s="40"/>
      <c r="CG794" s="40"/>
      <c r="CH794" s="41"/>
      <c r="CI794" s="45"/>
      <c r="CJ794" s="45"/>
      <c r="CK794" s="45"/>
      <c r="CL794" s="45"/>
    </row>
    <row r="795" ht="15.75" customHeight="1">
      <c r="K795" s="38"/>
      <c r="R795" s="39"/>
      <c r="Y795" s="39"/>
      <c r="AF795" s="39"/>
      <c r="AM795" s="40"/>
      <c r="AT795" s="40"/>
      <c r="BA795" s="41"/>
      <c r="BH795" s="42"/>
      <c r="BO795" s="42"/>
      <c r="BP795" s="43"/>
      <c r="CB795" s="44"/>
      <c r="CC795" s="39"/>
      <c r="CD795" s="39"/>
      <c r="CE795" s="39"/>
      <c r="CF795" s="40"/>
      <c r="CG795" s="40"/>
      <c r="CH795" s="41"/>
      <c r="CI795" s="45"/>
      <c r="CJ795" s="45"/>
      <c r="CK795" s="45"/>
      <c r="CL795" s="45"/>
    </row>
    <row r="796" ht="15.75" customHeight="1">
      <c r="K796" s="38"/>
      <c r="R796" s="39"/>
      <c r="Y796" s="39"/>
      <c r="AF796" s="39"/>
      <c r="AM796" s="40"/>
      <c r="AT796" s="40"/>
      <c r="BA796" s="41"/>
      <c r="BH796" s="42"/>
      <c r="BO796" s="42"/>
      <c r="BP796" s="43"/>
      <c r="CB796" s="44"/>
      <c r="CC796" s="39"/>
      <c r="CD796" s="39"/>
      <c r="CE796" s="39"/>
      <c r="CF796" s="40"/>
      <c r="CG796" s="40"/>
      <c r="CH796" s="41"/>
      <c r="CI796" s="45"/>
      <c r="CJ796" s="45"/>
      <c r="CK796" s="45"/>
      <c r="CL796" s="45"/>
    </row>
    <row r="797" ht="15.75" customHeight="1">
      <c r="K797" s="38"/>
      <c r="R797" s="39"/>
      <c r="Y797" s="39"/>
      <c r="AF797" s="39"/>
      <c r="AM797" s="40"/>
      <c r="AT797" s="40"/>
      <c r="BA797" s="41"/>
      <c r="BH797" s="42"/>
      <c r="BO797" s="42"/>
      <c r="BP797" s="43"/>
      <c r="CB797" s="44"/>
      <c r="CC797" s="39"/>
      <c r="CD797" s="39"/>
      <c r="CE797" s="39"/>
      <c r="CF797" s="40"/>
      <c r="CG797" s="40"/>
      <c r="CH797" s="41"/>
      <c r="CI797" s="45"/>
      <c r="CJ797" s="45"/>
      <c r="CK797" s="45"/>
      <c r="CL797" s="45"/>
    </row>
    <row r="798" ht="15.75" customHeight="1">
      <c r="K798" s="38"/>
      <c r="R798" s="39"/>
      <c r="Y798" s="39"/>
      <c r="AF798" s="39"/>
      <c r="AM798" s="40"/>
      <c r="AT798" s="40"/>
      <c r="BA798" s="41"/>
      <c r="BH798" s="42"/>
      <c r="BO798" s="42"/>
      <c r="BP798" s="43"/>
      <c r="CB798" s="44"/>
      <c r="CC798" s="39"/>
      <c r="CD798" s="39"/>
      <c r="CE798" s="39"/>
      <c r="CF798" s="40"/>
      <c r="CG798" s="40"/>
      <c r="CH798" s="41"/>
      <c r="CI798" s="45"/>
      <c r="CJ798" s="45"/>
      <c r="CK798" s="45"/>
      <c r="CL798" s="45"/>
    </row>
    <row r="799" ht="15.75" customHeight="1">
      <c r="K799" s="38"/>
      <c r="R799" s="39"/>
      <c r="Y799" s="39"/>
      <c r="AF799" s="39"/>
      <c r="AM799" s="40"/>
      <c r="AT799" s="40"/>
      <c r="BA799" s="41"/>
      <c r="BH799" s="42"/>
      <c r="BO799" s="42"/>
      <c r="BP799" s="43"/>
      <c r="CB799" s="44"/>
      <c r="CC799" s="39"/>
      <c r="CD799" s="39"/>
      <c r="CE799" s="39"/>
      <c r="CF799" s="40"/>
      <c r="CG799" s="40"/>
      <c r="CH799" s="41"/>
      <c r="CI799" s="45"/>
      <c r="CJ799" s="45"/>
      <c r="CK799" s="45"/>
      <c r="CL799" s="45"/>
    </row>
    <row r="800" ht="15.75" customHeight="1">
      <c r="K800" s="38"/>
      <c r="R800" s="39"/>
      <c r="Y800" s="39"/>
      <c r="AF800" s="39"/>
      <c r="AM800" s="40"/>
      <c r="AT800" s="40"/>
      <c r="BA800" s="41"/>
      <c r="BH800" s="42"/>
      <c r="BO800" s="42"/>
      <c r="BP800" s="43"/>
      <c r="CB800" s="44"/>
      <c r="CC800" s="39"/>
      <c r="CD800" s="39"/>
      <c r="CE800" s="39"/>
      <c r="CF800" s="40"/>
      <c r="CG800" s="40"/>
      <c r="CH800" s="41"/>
      <c r="CI800" s="45"/>
      <c r="CJ800" s="45"/>
      <c r="CK800" s="45"/>
      <c r="CL800" s="45"/>
    </row>
    <row r="801" ht="15.75" customHeight="1">
      <c r="K801" s="38"/>
      <c r="R801" s="39"/>
      <c r="Y801" s="39"/>
      <c r="AF801" s="39"/>
      <c r="AM801" s="40"/>
      <c r="AT801" s="40"/>
      <c r="BA801" s="41"/>
      <c r="BH801" s="42"/>
      <c r="BO801" s="42"/>
      <c r="BP801" s="43"/>
      <c r="CB801" s="44"/>
      <c r="CC801" s="39"/>
      <c r="CD801" s="39"/>
      <c r="CE801" s="39"/>
      <c r="CF801" s="40"/>
      <c r="CG801" s="40"/>
      <c r="CH801" s="41"/>
      <c r="CI801" s="45"/>
      <c r="CJ801" s="45"/>
      <c r="CK801" s="45"/>
      <c r="CL801" s="45"/>
    </row>
    <row r="802" ht="15.75" customHeight="1">
      <c r="K802" s="38"/>
      <c r="R802" s="39"/>
      <c r="Y802" s="39"/>
      <c r="AF802" s="39"/>
      <c r="AM802" s="40"/>
      <c r="AT802" s="40"/>
      <c r="BA802" s="41"/>
      <c r="BH802" s="42"/>
      <c r="BO802" s="42"/>
      <c r="BP802" s="43"/>
      <c r="CB802" s="44"/>
      <c r="CC802" s="39"/>
      <c r="CD802" s="39"/>
      <c r="CE802" s="39"/>
      <c r="CF802" s="40"/>
      <c r="CG802" s="40"/>
      <c r="CH802" s="41"/>
      <c r="CI802" s="45"/>
      <c r="CJ802" s="45"/>
      <c r="CK802" s="45"/>
      <c r="CL802" s="45"/>
    </row>
    <row r="803" ht="15.75" customHeight="1">
      <c r="K803" s="38"/>
      <c r="R803" s="39"/>
      <c r="Y803" s="39"/>
      <c r="AF803" s="39"/>
      <c r="AM803" s="40"/>
      <c r="AT803" s="40"/>
      <c r="BA803" s="41"/>
      <c r="BH803" s="42"/>
      <c r="BO803" s="42"/>
      <c r="BP803" s="43"/>
      <c r="CB803" s="44"/>
      <c r="CC803" s="39"/>
      <c r="CD803" s="39"/>
      <c r="CE803" s="39"/>
      <c r="CF803" s="40"/>
      <c r="CG803" s="40"/>
      <c r="CH803" s="41"/>
      <c r="CI803" s="45"/>
      <c r="CJ803" s="45"/>
      <c r="CK803" s="45"/>
      <c r="CL803" s="45"/>
    </row>
    <row r="804" ht="15.75" customHeight="1">
      <c r="K804" s="38"/>
      <c r="R804" s="39"/>
      <c r="Y804" s="39"/>
      <c r="AF804" s="39"/>
      <c r="AM804" s="40"/>
      <c r="AT804" s="40"/>
      <c r="BA804" s="41"/>
      <c r="BH804" s="42"/>
      <c r="BO804" s="42"/>
      <c r="BP804" s="43"/>
      <c r="CB804" s="44"/>
      <c r="CC804" s="39"/>
      <c r="CD804" s="39"/>
      <c r="CE804" s="39"/>
      <c r="CF804" s="40"/>
      <c r="CG804" s="40"/>
      <c r="CH804" s="41"/>
      <c r="CI804" s="45"/>
      <c r="CJ804" s="45"/>
      <c r="CK804" s="45"/>
      <c r="CL804" s="45"/>
    </row>
    <row r="805" ht="15.75" customHeight="1">
      <c r="K805" s="38"/>
      <c r="R805" s="39"/>
      <c r="Y805" s="39"/>
      <c r="AF805" s="39"/>
      <c r="AM805" s="40"/>
      <c r="AT805" s="40"/>
      <c r="BA805" s="41"/>
      <c r="BH805" s="42"/>
      <c r="BO805" s="42"/>
      <c r="BP805" s="43"/>
      <c r="CB805" s="44"/>
      <c r="CC805" s="39"/>
      <c r="CD805" s="39"/>
      <c r="CE805" s="39"/>
      <c r="CF805" s="40"/>
      <c r="CG805" s="40"/>
      <c r="CH805" s="41"/>
      <c r="CI805" s="45"/>
      <c r="CJ805" s="45"/>
      <c r="CK805" s="45"/>
      <c r="CL805" s="45"/>
    </row>
    <row r="806" ht="15.75" customHeight="1">
      <c r="K806" s="38"/>
      <c r="R806" s="39"/>
      <c r="Y806" s="39"/>
      <c r="AF806" s="39"/>
      <c r="AM806" s="40"/>
      <c r="AT806" s="40"/>
      <c r="BA806" s="41"/>
      <c r="BH806" s="42"/>
      <c r="BO806" s="42"/>
      <c r="BP806" s="43"/>
      <c r="CB806" s="44"/>
      <c r="CC806" s="39"/>
      <c r="CD806" s="39"/>
      <c r="CE806" s="39"/>
      <c r="CF806" s="40"/>
      <c r="CG806" s="40"/>
      <c r="CH806" s="41"/>
      <c r="CI806" s="45"/>
      <c r="CJ806" s="45"/>
      <c r="CK806" s="45"/>
      <c r="CL806" s="45"/>
    </row>
    <row r="807" ht="15.75" customHeight="1">
      <c r="K807" s="38"/>
      <c r="R807" s="39"/>
      <c r="Y807" s="39"/>
      <c r="AF807" s="39"/>
      <c r="AM807" s="40"/>
      <c r="AT807" s="40"/>
      <c r="BA807" s="41"/>
      <c r="BH807" s="42"/>
      <c r="BO807" s="42"/>
      <c r="BP807" s="43"/>
      <c r="CB807" s="44"/>
      <c r="CC807" s="39"/>
      <c r="CD807" s="39"/>
      <c r="CE807" s="39"/>
      <c r="CF807" s="40"/>
      <c r="CG807" s="40"/>
      <c r="CH807" s="41"/>
      <c r="CI807" s="45"/>
      <c r="CJ807" s="45"/>
      <c r="CK807" s="45"/>
      <c r="CL807" s="45"/>
    </row>
    <row r="808" ht="15.75" customHeight="1">
      <c r="K808" s="38"/>
      <c r="R808" s="39"/>
      <c r="Y808" s="39"/>
      <c r="AF808" s="39"/>
      <c r="AM808" s="40"/>
      <c r="AT808" s="40"/>
      <c r="BA808" s="41"/>
      <c r="BH808" s="42"/>
      <c r="BO808" s="42"/>
      <c r="BP808" s="43"/>
      <c r="CB808" s="44"/>
      <c r="CC808" s="39"/>
      <c r="CD808" s="39"/>
      <c r="CE808" s="39"/>
      <c r="CF808" s="40"/>
      <c r="CG808" s="40"/>
      <c r="CH808" s="41"/>
      <c r="CI808" s="45"/>
      <c r="CJ808" s="45"/>
      <c r="CK808" s="45"/>
      <c r="CL808" s="45"/>
    </row>
    <row r="809" ht="15.75" customHeight="1">
      <c r="K809" s="38"/>
      <c r="R809" s="39"/>
      <c r="Y809" s="39"/>
      <c r="AF809" s="39"/>
      <c r="AM809" s="40"/>
      <c r="AT809" s="40"/>
      <c r="BA809" s="41"/>
      <c r="BH809" s="42"/>
      <c r="BO809" s="42"/>
      <c r="BP809" s="43"/>
      <c r="CB809" s="44"/>
      <c r="CC809" s="39"/>
      <c r="CD809" s="39"/>
      <c r="CE809" s="39"/>
      <c r="CF809" s="40"/>
      <c r="CG809" s="40"/>
      <c r="CH809" s="41"/>
      <c r="CI809" s="45"/>
      <c r="CJ809" s="45"/>
      <c r="CK809" s="45"/>
      <c r="CL809" s="45"/>
    </row>
    <row r="810" ht="15.75" customHeight="1">
      <c r="K810" s="38"/>
      <c r="R810" s="39"/>
      <c r="Y810" s="39"/>
      <c r="AF810" s="39"/>
      <c r="AM810" s="40"/>
      <c r="AT810" s="40"/>
      <c r="BA810" s="41"/>
      <c r="BH810" s="42"/>
      <c r="BO810" s="42"/>
      <c r="BP810" s="43"/>
      <c r="CB810" s="44"/>
      <c r="CC810" s="39"/>
      <c r="CD810" s="39"/>
      <c r="CE810" s="39"/>
      <c r="CF810" s="40"/>
      <c r="CG810" s="40"/>
      <c r="CH810" s="41"/>
      <c r="CI810" s="45"/>
      <c r="CJ810" s="45"/>
      <c r="CK810" s="45"/>
      <c r="CL810" s="45"/>
    </row>
    <row r="811" ht="15.75" customHeight="1">
      <c r="K811" s="38"/>
      <c r="R811" s="39"/>
      <c r="Y811" s="39"/>
      <c r="AF811" s="39"/>
      <c r="AM811" s="40"/>
      <c r="AT811" s="40"/>
      <c r="BA811" s="41"/>
      <c r="BH811" s="42"/>
      <c r="BO811" s="42"/>
      <c r="BP811" s="43"/>
      <c r="CB811" s="44"/>
      <c r="CC811" s="39"/>
      <c r="CD811" s="39"/>
      <c r="CE811" s="39"/>
      <c r="CF811" s="40"/>
      <c r="CG811" s="40"/>
      <c r="CH811" s="41"/>
      <c r="CI811" s="45"/>
      <c r="CJ811" s="45"/>
      <c r="CK811" s="45"/>
      <c r="CL811" s="45"/>
    </row>
    <row r="812" ht="15.75" customHeight="1">
      <c r="K812" s="38"/>
      <c r="R812" s="39"/>
      <c r="Y812" s="39"/>
      <c r="AF812" s="39"/>
      <c r="AM812" s="40"/>
      <c r="AT812" s="40"/>
      <c r="BA812" s="41"/>
      <c r="BH812" s="42"/>
      <c r="BO812" s="42"/>
      <c r="BP812" s="43"/>
      <c r="CB812" s="44"/>
      <c r="CC812" s="39"/>
      <c r="CD812" s="39"/>
      <c r="CE812" s="39"/>
      <c r="CF812" s="40"/>
      <c r="CG812" s="40"/>
      <c r="CH812" s="41"/>
      <c r="CI812" s="45"/>
      <c r="CJ812" s="45"/>
      <c r="CK812" s="45"/>
      <c r="CL812" s="45"/>
    </row>
    <row r="813" ht="15.75" customHeight="1">
      <c r="K813" s="38"/>
      <c r="R813" s="39"/>
      <c r="Y813" s="39"/>
      <c r="AF813" s="39"/>
      <c r="AM813" s="40"/>
      <c r="AT813" s="40"/>
      <c r="BA813" s="41"/>
      <c r="BH813" s="42"/>
      <c r="BO813" s="42"/>
      <c r="BP813" s="43"/>
      <c r="CB813" s="44"/>
      <c r="CC813" s="39"/>
      <c r="CD813" s="39"/>
      <c r="CE813" s="39"/>
      <c r="CF813" s="40"/>
      <c r="CG813" s="40"/>
      <c r="CH813" s="41"/>
      <c r="CI813" s="45"/>
      <c r="CJ813" s="45"/>
      <c r="CK813" s="45"/>
      <c r="CL813" s="45"/>
    </row>
    <row r="814" ht="15.75" customHeight="1">
      <c r="K814" s="38"/>
      <c r="R814" s="39"/>
      <c r="Y814" s="39"/>
      <c r="AF814" s="39"/>
      <c r="AM814" s="40"/>
      <c r="AT814" s="40"/>
      <c r="BA814" s="41"/>
      <c r="BH814" s="42"/>
      <c r="BO814" s="42"/>
      <c r="BP814" s="43"/>
      <c r="CB814" s="44"/>
      <c r="CC814" s="39"/>
      <c r="CD814" s="39"/>
      <c r="CE814" s="39"/>
      <c r="CF814" s="40"/>
      <c r="CG814" s="40"/>
      <c r="CH814" s="41"/>
      <c r="CI814" s="45"/>
      <c r="CJ814" s="45"/>
      <c r="CK814" s="45"/>
      <c r="CL814" s="45"/>
    </row>
    <row r="815" ht="15.75" customHeight="1">
      <c r="K815" s="38"/>
      <c r="R815" s="39"/>
      <c r="Y815" s="39"/>
      <c r="AF815" s="39"/>
      <c r="AM815" s="40"/>
      <c r="AT815" s="40"/>
      <c r="BA815" s="41"/>
      <c r="BH815" s="42"/>
      <c r="BO815" s="42"/>
      <c r="BP815" s="43"/>
      <c r="CB815" s="44"/>
      <c r="CC815" s="39"/>
      <c r="CD815" s="39"/>
      <c r="CE815" s="39"/>
      <c r="CF815" s="40"/>
      <c r="CG815" s="40"/>
      <c r="CH815" s="41"/>
      <c r="CI815" s="45"/>
      <c r="CJ815" s="45"/>
      <c r="CK815" s="45"/>
      <c r="CL815" s="45"/>
    </row>
    <row r="816" ht="15.75" customHeight="1">
      <c r="K816" s="38"/>
      <c r="R816" s="39"/>
      <c r="Y816" s="39"/>
      <c r="AF816" s="39"/>
      <c r="AM816" s="40"/>
      <c r="AT816" s="40"/>
      <c r="BA816" s="41"/>
      <c r="BH816" s="42"/>
      <c r="BO816" s="42"/>
      <c r="BP816" s="43"/>
      <c r="CB816" s="44"/>
      <c r="CC816" s="39"/>
      <c r="CD816" s="39"/>
      <c r="CE816" s="39"/>
      <c r="CF816" s="40"/>
      <c r="CG816" s="40"/>
      <c r="CH816" s="41"/>
      <c r="CI816" s="45"/>
      <c r="CJ816" s="45"/>
      <c r="CK816" s="45"/>
      <c r="CL816" s="45"/>
    </row>
    <row r="817" ht="15.75" customHeight="1">
      <c r="K817" s="38"/>
      <c r="R817" s="39"/>
      <c r="Y817" s="39"/>
      <c r="AF817" s="39"/>
      <c r="AM817" s="40"/>
      <c r="AT817" s="40"/>
      <c r="BA817" s="41"/>
      <c r="BH817" s="42"/>
      <c r="BO817" s="42"/>
      <c r="BP817" s="43"/>
      <c r="CB817" s="44"/>
      <c r="CC817" s="39"/>
      <c r="CD817" s="39"/>
      <c r="CE817" s="39"/>
      <c r="CF817" s="40"/>
      <c r="CG817" s="40"/>
      <c r="CH817" s="41"/>
      <c r="CI817" s="45"/>
      <c r="CJ817" s="45"/>
      <c r="CK817" s="45"/>
      <c r="CL817" s="45"/>
    </row>
    <row r="818" ht="15.75" customHeight="1">
      <c r="K818" s="38"/>
      <c r="R818" s="39"/>
      <c r="Y818" s="39"/>
      <c r="AF818" s="39"/>
      <c r="AM818" s="40"/>
      <c r="AT818" s="40"/>
      <c r="BA818" s="41"/>
      <c r="BH818" s="42"/>
      <c r="BO818" s="42"/>
      <c r="BP818" s="43"/>
      <c r="CB818" s="44"/>
      <c r="CC818" s="39"/>
      <c r="CD818" s="39"/>
      <c r="CE818" s="39"/>
      <c r="CF818" s="40"/>
      <c r="CG818" s="40"/>
      <c r="CH818" s="41"/>
      <c r="CI818" s="45"/>
      <c r="CJ818" s="45"/>
      <c r="CK818" s="45"/>
      <c r="CL818" s="45"/>
    </row>
    <row r="819" ht="15.75" customHeight="1">
      <c r="K819" s="38"/>
      <c r="R819" s="39"/>
      <c r="Y819" s="39"/>
      <c r="AF819" s="39"/>
      <c r="AM819" s="40"/>
      <c r="AT819" s="40"/>
      <c r="BA819" s="41"/>
      <c r="BH819" s="42"/>
      <c r="BO819" s="42"/>
      <c r="BP819" s="43"/>
      <c r="CB819" s="44"/>
      <c r="CC819" s="39"/>
      <c r="CD819" s="39"/>
      <c r="CE819" s="39"/>
      <c r="CF819" s="40"/>
      <c r="CG819" s="40"/>
      <c r="CH819" s="41"/>
      <c r="CI819" s="45"/>
      <c r="CJ819" s="45"/>
      <c r="CK819" s="45"/>
      <c r="CL819" s="45"/>
    </row>
    <row r="820" ht="15.75" customHeight="1">
      <c r="K820" s="38"/>
      <c r="R820" s="39"/>
      <c r="Y820" s="39"/>
      <c r="AF820" s="39"/>
      <c r="AM820" s="40"/>
      <c r="AT820" s="40"/>
      <c r="BA820" s="41"/>
      <c r="BH820" s="42"/>
      <c r="BO820" s="42"/>
      <c r="BP820" s="43"/>
      <c r="CB820" s="44"/>
      <c r="CC820" s="39"/>
      <c r="CD820" s="39"/>
      <c r="CE820" s="39"/>
      <c r="CF820" s="40"/>
      <c r="CG820" s="40"/>
      <c r="CH820" s="41"/>
      <c r="CI820" s="45"/>
      <c r="CJ820" s="45"/>
      <c r="CK820" s="45"/>
      <c r="CL820" s="45"/>
    </row>
    <row r="821" ht="15.75" customHeight="1">
      <c r="K821" s="38"/>
      <c r="R821" s="39"/>
      <c r="Y821" s="39"/>
      <c r="AF821" s="39"/>
      <c r="AM821" s="40"/>
      <c r="AT821" s="40"/>
      <c r="BA821" s="41"/>
      <c r="BH821" s="42"/>
      <c r="BO821" s="42"/>
      <c r="BP821" s="43"/>
      <c r="CB821" s="44"/>
      <c r="CC821" s="39"/>
      <c r="CD821" s="39"/>
      <c r="CE821" s="39"/>
      <c r="CF821" s="40"/>
      <c r="CG821" s="40"/>
      <c r="CH821" s="41"/>
      <c r="CI821" s="45"/>
      <c r="CJ821" s="45"/>
      <c r="CK821" s="45"/>
      <c r="CL821" s="45"/>
    </row>
    <row r="822" ht="15.75" customHeight="1">
      <c r="K822" s="38"/>
      <c r="R822" s="39"/>
      <c r="Y822" s="39"/>
      <c r="AF822" s="39"/>
      <c r="AM822" s="40"/>
      <c r="AT822" s="40"/>
      <c r="BA822" s="41"/>
      <c r="BH822" s="42"/>
      <c r="BO822" s="42"/>
      <c r="BP822" s="43"/>
      <c r="CB822" s="44"/>
      <c r="CC822" s="39"/>
      <c r="CD822" s="39"/>
      <c r="CE822" s="39"/>
      <c r="CF822" s="40"/>
      <c r="CG822" s="40"/>
      <c r="CH822" s="41"/>
      <c r="CI822" s="45"/>
      <c r="CJ822" s="45"/>
      <c r="CK822" s="45"/>
      <c r="CL822" s="45"/>
    </row>
    <row r="823" ht="15.75" customHeight="1">
      <c r="K823" s="38"/>
      <c r="R823" s="39"/>
      <c r="Y823" s="39"/>
      <c r="AF823" s="39"/>
      <c r="AM823" s="40"/>
      <c r="AT823" s="40"/>
      <c r="BA823" s="41"/>
      <c r="BH823" s="42"/>
      <c r="BO823" s="42"/>
      <c r="BP823" s="43"/>
      <c r="CB823" s="44"/>
      <c r="CC823" s="39"/>
      <c r="CD823" s="39"/>
      <c r="CE823" s="39"/>
      <c r="CF823" s="40"/>
      <c r="CG823" s="40"/>
      <c r="CH823" s="41"/>
      <c r="CI823" s="45"/>
      <c r="CJ823" s="45"/>
      <c r="CK823" s="45"/>
      <c r="CL823" s="45"/>
    </row>
    <row r="824" ht="15.75" customHeight="1">
      <c r="K824" s="38"/>
      <c r="R824" s="39"/>
      <c r="Y824" s="39"/>
      <c r="AF824" s="39"/>
      <c r="AM824" s="40"/>
      <c r="AT824" s="40"/>
      <c r="BA824" s="41"/>
      <c r="BH824" s="42"/>
      <c r="BO824" s="42"/>
      <c r="BP824" s="43"/>
      <c r="CB824" s="44"/>
      <c r="CC824" s="39"/>
      <c r="CD824" s="39"/>
      <c r="CE824" s="39"/>
      <c r="CF824" s="40"/>
      <c r="CG824" s="40"/>
      <c r="CH824" s="41"/>
      <c r="CI824" s="45"/>
      <c r="CJ824" s="45"/>
      <c r="CK824" s="45"/>
      <c r="CL824" s="45"/>
    </row>
    <row r="825" ht="15.75" customHeight="1">
      <c r="K825" s="38"/>
      <c r="R825" s="39"/>
      <c r="Y825" s="39"/>
      <c r="AF825" s="39"/>
      <c r="AM825" s="40"/>
      <c r="AT825" s="40"/>
      <c r="BA825" s="41"/>
      <c r="BH825" s="42"/>
      <c r="BO825" s="42"/>
      <c r="BP825" s="43"/>
      <c r="CB825" s="44"/>
      <c r="CC825" s="39"/>
      <c r="CD825" s="39"/>
      <c r="CE825" s="39"/>
      <c r="CF825" s="40"/>
      <c r="CG825" s="40"/>
      <c r="CH825" s="41"/>
      <c r="CI825" s="45"/>
      <c r="CJ825" s="45"/>
      <c r="CK825" s="45"/>
      <c r="CL825" s="45"/>
    </row>
    <row r="826" ht="15.75" customHeight="1">
      <c r="K826" s="38"/>
      <c r="R826" s="39"/>
      <c r="Y826" s="39"/>
      <c r="AF826" s="39"/>
      <c r="AM826" s="40"/>
      <c r="AT826" s="40"/>
      <c r="BA826" s="41"/>
      <c r="BH826" s="42"/>
      <c r="BO826" s="42"/>
      <c r="BP826" s="43"/>
      <c r="CB826" s="44"/>
      <c r="CC826" s="39"/>
      <c r="CD826" s="39"/>
      <c r="CE826" s="39"/>
      <c r="CF826" s="40"/>
      <c r="CG826" s="40"/>
      <c r="CH826" s="41"/>
      <c r="CI826" s="45"/>
      <c r="CJ826" s="45"/>
      <c r="CK826" s="45"/>
      <c r="CL826" s="45"/>
    </row>
    <row r="827" ht="15.75" customHeight="1">
      <c r="K827" s="38"/>
      <c r="R827" s="39"/>
      <c r="Y827" s="39"/>
      <c r="AF827" s="39"/>
      <c r="AM827" s="40"/>
      <c r="AT827" s="40"/>
      <c r="BA827" s="41"/>
      <c r="BH827" s="42"/>
      <c r="BO827" s="42"/>
      <c r="BP827" s="43"/>
      <c r="CB827" s="44"/>
      <c r="CC827" s="39"/>
      <c r="CD827" s="39"/>
      <c r="CE827" s="39"/>
      <c r="CF827" s="40"/>
      <c r="CG827" s="40"/>
      <c r="CH827" s="41"/>
      <c r="CI827" s="45"/>
      <c r="CJ827" s="45"/>
      <c r="CK827" s="45"/>
      <c r="CL827" s="45"/>
    </row>
    <row r="828" ht="15.75" customHeight="1">
      <c r="K828" s="38"/>
      <c r="R828" s="39"/>
      <c r="Y828" s="39"/>
      <c r="AF828" s="39"/>
      <c r="AM828" s="40"/>
      <c r="AT828" s="40"/>
      <c r="BA828" s="41"/>
      <c r="BH828" s="42"/>
      <c r="BO828" s="42"/>
      <c r="BP828" s="43"/>
      <c r="CB828" s="44"/>
      <c r="CC828" s="39"/>
      <c r="CD828" s="39"/>
      <c r="CE828" s="39"/>
      <c r="CF828" s="40"/>
      <c r="CG828" s="40"/>
      <c r="CH828" s="41"/>
      <c r="CI828" s="45"/>
      <c r="CJ828" s="45"/>
      <c r="CK828" s="45"/>
      <c r="CL828" s="45"/>
    </row>
    <row r="829" ht="15.75" customHeight="1">
      <c r="K829" s="38"/>
      <c r="R829" s="39"/>
      <c r="Y829" s="39"/>
      <c r="AF829" s="39"/>
      <c r="AM829" s="40"/>
      <c r="AT829" s="40"/>
      <c r="BA829" s="41"/>
      <c r="BH829" s="42"/>
      <c r="BO829" s="42"/>
      <c r="BP829" s="43"/>
      <c r="CB829" s="44"/>
      <c r="CC829" s="39"/>
      <c r="CD829" s="39"/>
      <c r="CE829" s="39"/>
      <c r="CF829" s="40"/>
      <c r="CG829" s="40"/>
      <c r="CH829" s="41"/>
      <c r="CI829" s="45"/>
      <c r="CJ829" s="45"/>
      <c r="CK829" s="45"/>
      <c r="CL829" s="45"/>
    </row>
    <row r="830" ht="15.75" customHeight="1">
      <c r="K830" s="38"/>
      <c r="R830" s="39"/>
      <c r="Y830" s="39"/>
      <c r="AF830" s="39"/>
      <c r="AM830" s="40"/>
      <c r="AT830" s="40"/>
      <c r="BA830" s="41"/>
      <c r="BH830" s="42"/>
      <c r="BO830" s="42"/>
      <c r="BP830" s="43"/>
      <c r="CB830" s="44"/>
      <c r="CC830" s="39"/>
      <c r="CD830" s="39"/>
      <c r="CE830" s="39"/>
      <c r="CF830" s="40"/>
      <c r="CG830" s="40"/>
      <c r="CH830" s="41"/>
      <c r="CI830" s="45"/>
      <c r="CJ830" s="45"/>
      <c r="CK830" s="45"/>
      <c r="CL830" s="45"/>
    </row>
    <row r="831" ht="15.75" customHeight="1">
      <c r="K831" s="38"/>
      <c r="R831" s="39"/>
      <c r="Y831" s="39"/>
      <c r="AF831" s="39"/>
      <c r="AM831" s="40"/>
      <c r="AT831" s="40"/>
      <c r="BA831" s="41"/>
      <c r="BH831" s="42"/>
      <c r="BO831" s="42"/>
      <c r="BP831" s="43"/>
      <c r="CB831" s="44"/>
      <c r="CC831" s="39"/>
      <c r="CD831" s="39"/>
      <c r="CE831" s="39"/>
      <c r="CF831" s="40"/>
      <c r="CG831" s="40"/>
      <c r="CH831" s="41"/>
      <c r="CI831" s="45"/>
      <c r="CJ831" s="45"/>
      <c r="CK831" s="45"/>
      <c r="CL831" s="45"/>
    </row>
    <row r="832" ht="15.75" customHeight="1">
      <c r="K832" s="38"/>
      <c r="R832" s="39"/>
      <c r="Y832" s="39"/>
      <c r="AF832" s="39"/>
      <c r="AM832" s="40"/>
      <c r="AT832" s="40"/>
      <c r="BA832" s="41"/>
      <c r="BH832" s="42"/>
      <c r="BO832" s="42"/>
      <c r="BP832" s="43"/>
      <c r="CB832" s="44"/>
      <c r="CC832" s="39"/>
      <c r="CD832" s="39"/>
      <c r="CE832" s="39"/>
      <c r="CF832" s="40"/>
      <c r="CG832" s="40"/>
      <c r="CH832" s="41"/>
      <c r="CI832" s="45"/>
      <c r="CJ832" s="45"/>
      <c r="CK832" s="45"/>
      <c r="CL832" s="45"/>
    </row>
    <row r="833" ht="15.75" customHeight="1">
      <c r="K833" s="38"/>
      <c r="R833" s="39"/>
      <c r="Y833" s="39"/>
      <c r="AF833" s="39"/>
      <c r="AM833" s="40"/>
      <c r="AT833" s="40"/>
      <c r="BA833" s="41"/>
      <c r="BH833" s="42"/>
      <c r="BO833" s="42"/>
      <c r="BP833" s="43"/>
      <c r="CB833" s="44"/>
      <c r="CC833" s="39"/>
      <c r="CD833" s="39"/>
      <c r="CE833" s="39"/>
      <c r="CF833" s="40"/>
      <c r="CG833" s="40"/>
      <c r="CH833" s="41"/>
      <c r="CI833" s="45"/>
      <c r="CJ833" s="45"/>
      <c r="CK833" s="45"/>
      <c r="CL833" s="45"/>
    </row>
    <row r="834" ht="15.75" customHeight="1">
      <c r="K834" s="38"/>
      <c r="R834" s="39"/>
      <c r="Y834" s="39"/>
      <c r="AF834" s="39"/>
      <c r="AM834" s="40"/>
      <c r="AT834" s="40"/>
      <c r="BA834" s="41"/>
      <c r="BH834" s="42"/>
      <c r="BO834" s="42"/>
      <c r="BP834" s="43"/>
      <c r="CB834" s="44"/>
      <c r="CC834" s="39"/>
      <c r="CD834" s="39"/>
      <c r="CE834" s="39"/>
      <c r="CF834" s="40"/>
      <c r="CG834" s="40"/>
      <c r="CH834" s="41"/>
      <c r="CI834" s="45"/>
      <c r="CJ834" s="45"/>
      <c r="CK834" s="45"/>
      <c r="CL834" s="45"/>
    </row>
    <row r="835" ht="15.75" customHeight="1">
      <c r="K835" s="38"/>
      <c r="R835" s="39"/>
      <c r="Y835" s="39"/>
      <c r="AF835" s="39"/>
      <c r="AM835" s="40"/>
      <c r="AT835" s="40"/>
      <c r="BA835" s="41"/>
      <c r="BH835" s="42"/>
      <c r="BO835" s="42"/>
      <c r="BP835" s="43"/>
      <c r="CB835" s="44"/>
      <c r="CC835" s="39"/>
      <c r="CD835" s="39"/>
      <c r="CE835" s="39"/>
      <c r="CF835" s="40"/>
      <c r="CG835" s="40"/>
      <c r="CH835" s="41"/>
      <c r="CI835" s="45"/>
      <c r="CJ835" s="45"/>
      <c r="CK835" s="45"/>
      <c r="CL835" s="45"/>
    </row>
    <row r="836" ht="15.75" customHeight="1">
      <c r="K836" s="38"/>
      <c r="R836" s="39"/>
      <c r="Y836" s="39"/>
      <c r="AF836" s="39"/>
      <c r="AM836" s="40"/>
      <c r="AT836" s="40"/>
      <c r="BA836" s="41"/>
      <c r="BH836" s="42"/>
      <c r="BO836" s="42"/>
      <c r="BP836" s="43"/>
      <c r="CB836" s="44"/>
      <c r="CC836" s="39"/>
      <c r="CD836" s="39"/>
      <c r="CE836" s="39"/>
      <c r="CF836" s="40"/>
      <c r="CG836" s="40"/>
      <c r="CH836" s="41"/>
      <c r="CI836" s="45"/>
      <c r="CJ836" s="45"/>
      <c r="CK836" s="45"/>
      <c r="CL836" s="45"/>
    </row>
    <row r="837" ht="15.75" customHeight="1">
      <c r="K837" s="38"/>
      <c r="R837" s="39"/>
      <c r="Y837" s="39"/>
      <c r="AF837" s="39"/>
      <c r="AM837" s="40"/>
      <c r="AT837" s="40"/>
      <c r="BA837" s="41"/>
      <c r="BH837" s="42"/>
      <c r="BO837" s="42"/>
      <c r="BP837" s="43"/>
      <c r="CB837" s="44"/>
      <c r="CC837" s="39"/>
      <c r="CD837" s="39"/>
      <c r="CE837" s="39"/>
      <c r="CF837" s="40"/>
      <c r="CG837" s="40"/>
      <c r="CH837" s="41"/>
      <c r="CI837" s="45"/>
      <c r="CJ837" s="45"/>
      <c r="CK837" s="45"/>
      <c r="CL837" s="45"/>
    </row>
    <row r="838" ht="15.75" customHeight="1">
      <c r="K838" s="38"/>
      <c r="R838" s="39"/>
      <c r="Y838" s="39"/>
      <c r="AF838" s="39"/>
      <c r="AM838" s="40"/>
      <c r="AT838" s="40"/>
      <c r="BA838" s="41"/>
      <c r="BH838" s="42"/>
      <c r="BO838" s="42"/>
      <c r="BP838" s="43"/>
      <c r="CB838" s="44"/>
      <c r="CC838" s="39"/>
      <c r="CD838" s="39"/>
      <c r="CE838" s="39"/>
      <c r="CF838" s="40"/>
      <c r="CG838" s="40"/>
      <c r="CH838" s="41"/>
      <c r="CI838" s="45"/>
      <c r="CJ838" s="45"/>
      <c r="CK838" s="45"/>
      <c r="CL838" s="45"/>
    </row>
    <row r="839" ht="15.75" customHeight="1">
      <c r="K839" s="38"/>
      <c r="R839" s="39"/>
      <c r="Y839" s="39"/>
      <c r="AF839" s="39"/>
      <c r="AM839" s="40"/>
      <c r="AT839" s="40"/>
      <c r="BA839" s="41"/>
      <c r="BH839" s="42"/>
      <c r="BO839" s="42"/>
      <c r="BP839" s="43"/>
      <c r="CB839" s="44"/>
      <c r="CC839" s="39"/>
      <c r="CD839" s="39"/>
      <c r="CE839" s="39"/>
      <c r="CF839" s="40"/>
      <c r="CG839" s="40"/>
      <c r="CH839" s="41"/>
      <c r="CI839" s="45"/>
      <c r="CJ839" s="45"/>
      <c r="CK839" s="45"/>
      <c r="CL839" s="45"/>
    </row>
    <row r="840" ht="15.75" customHeight="1">
      <c r="K840" s="38"/>
      <c r="R840" s="39"/>
      <c r="Y840" s="39"/>
      <c r="AF840" s="39"/>
      <c r="AM840" s="40"/>
      <c r="AT840" s="40"/>
      <c r="BA840" s="41"/>
      <c r="BH840" s="42"/>
      <c r="BO840" s="42"/>
      <c r="BP840" s="43"/>
      <c r="CB840" s="44"/>
      <c r="CC840" s="39"/>
      <c r="CD840" s="39"/>
      <c r="CE840" s="39"/>
      <c r="CF840" s="40"/>
      <c r="CG840" s="40"/>
      <c r="CH840" s="41"/>
      <c r="CI840" s="45"/>
      <c r="CJ840" s="45"/>
      <c r="CK840" s="45"/>
      <c r="CL840" s="45"/>
    </row>
    <row r="841" ht="15.75" customHeight="1">
      <c r="K841" s="38"/>
      <c r="R841" s="39"/>
      <c r="Y841" s="39"/>
      <c r="AF841" s="39"/>
      <c r="AM841" s="40"/>
      <c r="AT841" s="40"/>
      <c r="BA841" s="41"/>
      <c r="BH841" s="42"/>
      <c r="BO841" s="42"/>
      <c r="BP841" s="43"/>
      <c r="CB841" s="44"/>
      <c r="CC841" s="39"/>
      <c r="CD841" s="39"/>
      <c r="CE841" s="39"/>
      <c r="CF841" s="40"/>
      <c r="CG841" s="40"/>
      <c r="CH841" s="41"/>
      <c r="CI841" s="45"/>
      <c r="CJ841" s="45"/>
      <c r="CK841" s="45"/>
      <c r="CL841" s="45"/>
    </row>
    <row r="842" ht="15.75" customHeight="1">
      <c r="K842" s="38"/>
      <c r="R842" s="39"/>
      <c r="Y842" s="39"/>
      <c r="AF842" s="39"/>
      <c r="AM842" s="40"/>
      <c r="AT842" s="40"/>
      <c r="BA842" s="41"/>
      <c r="BH842" s="42"/>
      <c r="BO842" s="42"/>
      <c r="BP842" s="43"/>
      <c r="CB842" s="44"/>
      <c r="CC842" s="39"/>
      <c r="CD842" s="39"/>
      <c r="CE842" s="39"/>
      <c r="CF842" s="40"/>
      <c r="CG842" s="40"/>
      <c r="CH842" s="41"/>
      <c r="CI842" s="45"/>
      <c r="CJ842" s="45"/>
      <c r="CK842" s="45"/>
      <c r="CL842" s="45"/>
    </row>
    <row r="843" ht="15.75" customHeight="1">
      <c r="K843" s="38"/>
      <c r="R843" s="39"/>
      <c r="Y843" s="39"/>
      <c r="AF843" s="39"/>
      <c r="AM843" s="40"/>
      <c r="AT843" s="40"/>
      <c r="BA843" s="41"/>
      <c r="BH843" s="42"/>
      <c r="BO843" s="42"/>
      <c r="BP843" s="43"/>
      <c r="CB843" s="44"/>
      <c r="CC843" s="39"/>
      <c r="CD843" s="39"/>
      <c r="CE843" s="39"/>
      <c r="CF843" s="40"/>
      <c r="CG843" s="40"/>
      <c r="CH843" s="41"/>
      <c r="CI843" s="45"/>
      <c r="CJ843" s="45"/>
      <c r="CK843" s="45"/>
      <c r="CL843" s="45"/>
    </row>
    <row r="844" ht="15.75" customHeight="1">
      <c r="K844" s="38"/>
      <c r="R844" s="39"/>
      <c r="Y844" s="39"/>
      <c r="AF844" s="39"/>
      <c r="AM844" s="40"/>
      <c r="AT844" s="40"/>
      <c r="BA844" s="41"/>
      <c r="BH844" s="42"/>
      <c r="BO844" s="42"/>
      <c r="BP844" s="43"/>
      <c r="CB844" s="44"/>
      <c r="CC844" s="39"/>
      <c r="CD844" s="39"/>
      <c r="CE844" s="39"/>
      <c r="CF844" s="40"/>
      <c r="CG844" s="40"/>
      <c r="CH844" s="41"/>
      <c r="CI844" s="45"/>
      <c r="CJ844" s="45"/>
      <c r="CK844" s="45"/>
      <c r="CL844" s="45"/>
    </row>
    <row r="845" ht="15.75" customHeight="1">
      <c r="K845" s="38"/>
      <c r="R845" s="39"/>
      <c r="Y845" s="39"/>
      <c r="AF845" s="39"/>
      <c r="AM845" s="40"/>
      <c r="AT845" s="40"/>
      <c r="BA845" s="41"/>
      <c r="BH845" s="42"/>
      <c r="BO845" s="42"/>
      <c r="BP845" s="43"/>
      <c r="CB845" s="44"/>
      <c r="CC845" s="39"/>
      <c r="CD845" s="39"/>
      <c r="CE845" s="39"/>
      <c r="CF845" s="40"/>
      <c r="CG845" s="40"/>
      <c r="CH845" s="41"/>
      <c r="CI845" s="45"/>
      <c r="CJ845" s="45"/>
      <c r="CK845" s="45"/>
      <c r="CL845" s="45"/>
    </row>
    <row r="846" ht="15.75" customHeight="1">
      <c r="K846" s="38"/>
      <c r="R846" s="39"/>
      <c r="Y846" s="39"/>
      <c r="AF846" s="39"/>
      <c r="AM846" s="40"/>
      <c r="AT846" s="40"/>
      <c r="BA846" s="41"/>
      <c r="BH846" s="42"/>
      <c r="BO846" s="42"/>
      <c r="BP846" s="43"/>
      <c r="CB846" s="44"/>
      <c r="CC846" s="39"/>
      <c r="CD846" s="39"/>
      <c r="CE846" s="39"/>
      <c r="CF846" s="40"/>
      <c r="CG846" s="40"/>
      <c r="CH846" s="41"/>
      <c r="CI846" s="45"/>
      <c r="CJ846" s="45"/>
      <c r="CK846" s="45"/>
      <c r="CL846" s="45"/>
    </row>
    <row r="847" ht="15.75" customHeight="1">
      <c r="K847" s="38"/>
      <c r="R847" s="39"/>
      <c r="Y847" s="39"/>
      <c r="AF847" s="39"/>
      <c r="AM847" s="40"/>
      <c r="AT847" s="40"/>
      <c r="BA847" s="41"/>
      <c r="BH847" s="42"/>
      <c r="BO847" s="42"/>
      <c r="BP847" s="43"/>
      <c r="CB847" s="44"/>
      <c r="CC847" s="39"/>
      <c r="CD847" s="39"/>
      <c r="CE847" s="39"/>
      <c r="CF847" s="40"/>
      <c r="CG847" s="40"/>
      <c r="CH847" s="41"/>
      <c r="CI847" s="45"/>
      <c r="CJ847" s="45"/>
      <c r="CK847" s="45"/>
      <c r="CL847" s="45"/>
    </row>
    <row r="848" ht="15.75" customHeight="1">
      <c r="K848" s="38"/>
      <c r="R848" s="39"/>
      <c r="Y848" s="39"/>
      <c r="AF848" s="39"/>
      <c r="AM848" s="40"/>
      <c r="AT848" s="40"/>
      <c r="BA848" s="41"/>
      <c r="BH848" s="42"/>
      <c r="BO848" s="42"/>
      <c r="BP848" s="43"/>
      <c r="CB848" s="44"/>
      <c r="CC848" s="39"/>
      <c r="CD848" s="39"/>
      <c r="CE848" s="39"/>
      <c r="CF848" s="40"/>
      <c r="CG848" s="40"/>
      <c r="CH848" s="41"/>
      <c r="CI848" s="45"/>
      <c r="CJ848" s="45"/>
      <c r="CK848" s="45"/>
      <c r="CL848" s="45"/>
    </row>
    <row r="849" ht="15.75" customHeight="1">
      <c r="K849" s="38"/>
      <c r="R849" s="39"/>
      <c r="Y849" s="39"/>
      <c r="AF849" s="39"/>
      <c r="AM849" s="40"/>
      <c r="AT849" s="40"/>
      <c r="BA849" s="41"/>
      <c r="BH849" s="42"/>
      <c r="BO849" s="42"/>
      <c r="BP849" s="43"/>
      <c r="CB849" s="44"/>
      <c r="CC849" s="39"/>
      <c r="CD849" s="39"/>
      <c r="CE849" s="39"/>
      <c r="CF849" s="40"/>
      <c r="CG849" s="40"/>
      <c r="CH849" s="41"/>
      <c r="CI849" s="45"/>
      <c r="CJ849" s="45"/>
      <c r="CK849" s="45"/>
      <c r="CL849" s="45"/>
    </row>
    <row r="850" ht="15.75" customHeight="1">
      <c r="K850" s="38"/>
      <c r="R850" s="39"/>
      <c r="Y850" s="39"/>
      <c r="AF850" s="39"/>
      <c r="AM850" s="40"/>
      <c r="AT850" s="40"/>
      <c r="BA850" s="41"/>
      <c r="BH850" s="42"/>
      <c r="BO850" s="42"/>
      <c r="BP850" s="43"/>
      <c r="CB850" s="44"/>
      <c r="CC850" s="39"/>
      <c r="CD850" s="39"/>
      <c r="CE850" s="39"/>
      <c r="CF850" s="40"/>
      <c r="CG850" s="40"/>
      <c r="CH850" s="41"/>
      <c r="CI850" s="45"/>
      <c r="CJ850" s="45"/>
      <c r="CK850" s="45"/>
      <c r="CL850" s="45"/>
    </row>
    <row r="851" ht="15.75" customHeight="1">
      <c r="K851" s="38"/>
      <c r="R851" s="39"/>
      <c r="Y851" s="39"/>
      <c r="AF851" s="39"/>
      <c r="AM851" s="40"/>
      <c r="AT851" s="40"/>
      <c r="BA851" s="41"/>
      <c r="BH851" s="42"/>
      <c r="BO851" s="42"/>
      <c r="BP851" s="43"/>
      <c r="CB851" s="44"/>
      <c r="CC851" s="39"/>
      <c r="CD851" s="39"/>
      <c r="CE851" s="39"/>
      <c r="CF851" s="40"/>
      <c r="CG851" s="40"/>
      <c r="CH851" s="41"/>
      <c r="CI851" s="45"/>
      <c r="CJ851" s="45"/>
      <c r="CK851" s="45"/>
      <c r="CL851" s="45"/>
    </row>
    <row r="852" ht="15.75" customHeight="1">
      <c r="K852" s="38"/>
      <c r="R852" s="39"/>
      <c r="Y852" s="39"/>
      <c r="AF852" s="39"/>
      <c r="AM852" s="40"/>
      <c r="AT852" s="40"/>
      <c r="BA852" s="41"/>
      <c r="BH852" s="42"/>
      <c r="BO852" s="42"/>
      <c r="BP852" s="43"/>
      <c r="CB852" s="44"/>
      <c r="CC852" s="39"/>
      <c r="CD852" s="39"/>
      <c r="CE852" s="39"/>
      <c r="CF852" s="40"/>
      <c r="CG852" s="40"/>
      <c r="CH852" s="41"/>
      <c r="CI852" s="45"/>
      <c r="CJ852" s="45"/>
      <c r="CK852" s="45"/>
      <c r="CL852" s="45"/>
    </row>
    <row r="853" ht="15.75" customHeight="1">
      <c r="K853" s="38"/>
      <c r="R853" s="39"/>
      <c r="Y853" s="39"/>
      <c r="AF853" s="39"/>
      <c r="AM853" s="40"/>
      <c r="AT853" s="40"/>
      <c r="BA853" s="41"/>
      <c r="BH853" s="42"/>
      <c r="BO853" s="42"/>
      <c r="BP853" s="43"/>
      <c r="CB853" s="44"/>
      <c r="CC853" s="39"/>
      <c r="CD853" s="39"/>
      <c r="CE853" s="39"/>
      <c r="CF853" s="40"/>
      <c r="CG853" s="40"/>
      <c r="CH853" s="41"/>
      <c r="CI853" s="45"/>
      <c r="CJ853" s="45"/>
      <c r="CK853" s="45"/>
      <c r="CL853" s="45"/>
    </row>
    <row r="854" ht="15.75" customHeight="1">
      <c r="K854" s="38"/>
      <c r="R854" s="39"/>
      <c r="Y854" s="39"/>
      <c r="AF854" s="39"/>
      <c r="AM854" s="40"/>
      <c r="AT854" s="40"/>
      <c r="BA854" s="41"/>
      <c r="BH854" s="42"/>
      <c r="BO854" s="42"/>
      <c r="BP854" s="43"/>
      <c r="CB854" s="44"/>
      <c r="CC854" s="39"/>
      <c r="CD854" s="39"/>
      <c r="CE854" s="39"/>
      <c r="CF854" s="40"/>
      <c r="CG854" s="40"/>
      <c r="CH854" s="41"/>
      <c r="CI854" s="45"/>
      <c r="CJ854" s="45"/>
      <c r="CK854" s="45"/>
      <c r="CL854" s="45"/>
    </row>
    <row r="855" ht="15.75" customHeight="1">
      <c r="K855" s="38"/>
      <c r="R855" s="39"/>
      <c r="Y855" s="39"/>
      <c r="AF855" s="39"/>
      <c r="AM855" s="40"/>
      <c r="AT855" s="40"/>
      <c r="BA855" s="41"/>
      <c r="BH855" s="42"/>
      <c r="BO855" s="42"/>
      <c r="BP855" s="43"/>
      <c r="CB855" s="44"/>
      <c r="CC855" s="39"/>
      <c r="CD855" s="39"/>
      <c r="CE855" s="39"/>
      <c r="CF855" s="40"/>
      <c r="CG855" s="40"/>
      <c r="CH855" s="41"/>
      <c r="CI855" s="45"/>
      <c r="CJ855" s="45"/>
      <c r="CK855" s="45"/>
      <c r="CL855" s="45"/>
    </row>
    <row r="856" ht="15.75" customHeight="1">
      <c r="K856" s="38"/>
      <c r="R856" s="39"/>
      <c r="Y856" s="39"/>
      <c r="AF856" s="39"/>
      <c r="AM856" s="40"/>
      <c r="AT856" s="40"/>
      <c r="BA856" s="41"/>
      <c r="BH856" s="42"/>
      <c r="BO856" s="42"/>
      <c r="BP856" s="43"/>
      <c r="CB856" s="44"/>
      <c r="CC856" s="39"/>
      <c r="CD856" s="39"/>
      <c r="CE856" s="39"/>
      <c r="CF856" s="40"/>
      <c r="CG856" s="40"/>
      <c r="CH856" s="41"/>
      <c r="CI856" s="45"/>
      <c r="CJ856" s="45"/>
      <c r="CK856" s="45"/>
      <c r="CL856" s="45"/>
    </row>
    <row r="857" ht="15.75" customHeight="1">
      <c r="K857" s="38"/>
      <c r="R857" s="39"/>
      <c r="Y857" s="39"/>
      <c r="AF857" s="39"/>
      <c r="AM857" s="40"/>
      <c r="AT857" s="40"/>
      <c r="BA857" s="41"/>
      <c r="BH857" s="42"/>
      <c r="BO857" s="42"/>
      <c r="BP857" s="43"/>
      <c r="CB857" s="44"/>
      <c r="CC857" s="39"/>
      <c r="CD857" s="39"/>
      <c r="CE857" s="39"/>
      <c r="CF857" s="40"/>
      <c r="CG857" s="40"/>
      <c r="CH857" s="41"/>
      <c r="CI857" s="45"/>
      <c r="CJ857" s="45"/>
      <c r="CK857" s="45"/>
      <c r="CL857" s="45"/>
    </row>
    <row r="858" ht="15.75" customHeight="1">
      <c r="K858" s="38"/>
      <c r="R858" s="39"/>
      <c r="Y858" s="39"/>
      <c r="AF858" s="39"/>
      <c r="AM858" s="40"/>
      <c r="AT858" s="40"/>
      <c r="BA858" s="41"/>
      <c r="BH858" s="42"/>
      <c r="BO858" s="42"/>
      <c r="BP858" s="43"/>
      <c r="CB858" s="44"/>
      <c r="CC858" s="39"/>
      <c r="CD858" s="39"/>
      <c r="CE858" s="39"/>
      <c r="CF858" s="40"/>
      <c r="CG858" s="40"/>
      <c r="CH858" s="41"/>
      <c r="CI858" s="45"/>
      <c r="CJ858" s="45"/>
      <c r="CK858" s="45"/>
      <c r="CL858" s="45"/>
    </row>
    <row r="859" ht="15.75" customHeight="1">
      <c r="K859" s="38"/>
      <c r="R859" s="39"/>
      <c r="Y859" s="39"/>
      <c r="AF859" s="39"/>
      <c r="AM859" s="40"/>
      <c r="AT859" s="40"/>
      <c r="BA859" s="41"/>
      <c r="BH859" s="42"/>
      <c r="BO859" s="42"/>
      <c r="BP859" s="43"/>
      <c r="CB859" s="44"/>
      <c r="CC859" s="39"/>
      <c r="CD859" s="39"/>
      <c r="CE859" s="39"/>
      <c r="CF859" s="40"/>
      <c r="CG859" s="40"/>
      <c r="CH859" s="41"/>
      <c r="CI859" s="45"/>
      <c r="CJ859" s="45"/>
      <c r="CK859" s="45"/>
      <c r="CL859" s="45"/>
    </row>
    <row r="860" ht="15.75" customHeight="1">
      <c r="K860" s="38"/>
      <c r="R860" s="39"/>
      <c r="Y860" s="39"/>
      <c r="AF860" s="39"/>
      <c r="AM860" s="40"/>
      <c r="AT860" s="40"/>
      <c r="BA860" s="41"/>
      <c r="BH860" s="42"/>
      <c r="BO860" s="42"/>
      <c r="BP860" s="43"/>
      <c r="CB860" s="44"/>
      <c r="CC860" s="39"/>
      <c r="CD860" s="39"/>
      <c r="CE860" s="39"/>
      <c r="CF860" s="40"/>
      <c r="CG860" s="40"/>
      <c r="CH860" s="41"/>
      <c r="CI860" s="45"/>
      <c r="CJ860" s="45"/>
      <c r="CK860" s="45"/>
      <c r="CL860" s="45"/>
    </row>
    <row r="861" ht="15.75" customHeight="1">
      <c r="K861" s="38"/>
      <c r="R861" s="39"/>
      <c r="Y861" s="39"/>
      <c r="AF861" s="39"/>
      <c r="AM861" s="40"/>
      <c r="AT861" s="40"/>
      <c r="BA861" s="41"/>
      <c r="BH861" s="42"/>
      <c r="BO861" s="42"/>
      <c r="BP861" s="43"/>
      <c r="CB861" s="44"/>
      <c r="CC861" s="39"/>
      <c r="CD861" s="39"/>
      <c r="CE861" s="39"/>
      <c r="CF861" s="40"/>
      <c r="CG861" s="40"/>
      <c r="CH861" s="41"/>
      <c r="CI861" s="45"/>
      <c r="CJ861" s="45"/>
      <c r="CK861" s="45"/>
      <c r="CL861" s="45"/>
    </row>
    <row r="862" ht="15.75" customHeight="1">
      <c r="K862" s="38"/>
      <c r="R862" s="39"/>
      <c r="Y862" s="39"/>
      <c r="AF862" s="39"/>
      <c r="AM862" s="40"/>
      <c r="AT862" s="40"/>
      <c r="BA862" s="41"/>
      <c r="BH862" s="42"/>
      <c r="BO862" s="42"/>
      <c r="BP862" s="43"/>
      <c r="CB862" s="44"/>
      <c r="CC862" s="39"/>
      <c r="CD862" s="39"/>
      <c r="CE862" s="39"/>
      <c r="CF862" s="40"/>
      <c r="CG862" s="40"/>
      <c r="CH862" s="41"/>
      <c r="CI862" s="45"/>
      <c r="CJ862" s="45"/>
      <c r="CK862" s="45"/>
      <c r="CL862" s="45"/>
    </row>
    <row r="863" ht="15.75" customHeight="1">
      <c r="K863" s="38"/>
      <c r="R863" s="39"/>
      <c r="Y863" s="39"/>
      <c r="AF863" s="39"/>
      <c r="AM863" s="40"/>
      <c r="AT863" s="40"/>
      <c r="BA863" s="41"/>
      <c r="BH863" s="42"/>
      <c r="BO863" s="42"/>
      <c r="BP863" s="43"/>
      <c r="CB863" s="44"/>
      <c r="CC863" s="39"/>
      <c r="CD863" s="39"/>
      <c r="CE863" s="39"/>
      <c r="CF863" s="40"/>
      <c r="CG863" s="40"/>
      <c r="CH863" s="41"/>
      <c r="CI863" s="45"/>
      <c r="CJ863" s="45"/>
      <c r="CK863" s="45"/>
      <c r="CL863" s="45"/>
    </row>
    <row r="864" ht="15.75" customHeight="1">
      <c r="K864" s="38"/>
      <c r="R864" s="39"/>
      <c r="Y864" s="39"/>
      <c r="AF864" s="39"/>
      <c r="AM864" s="40"/>
      <c r="AT864" s="40"/>
      <c r="BA864" s="41"/>
      <c r="BH864" s="42"/>
      <c r="BO864" s="42"/>
      <c r="BP864" s="43"/>
      <c r="CB864" s="44"/>
      <c r="CC864" s="39"/>
      <c r="CD864" s="39"/>
      <c r="CE864" s="39"/>
      <c r="CF864" s="40"/>
      <c r="CG864" s="40"/>
      <c r="CH864" s="41"/>
      <c r="CI864" s="45"/>
      <c r="CJ864" s="45"/>
      <c r="CK864" s="45"/>
      <c r="CL864" s="45"/>
    </row>
    <row r="865" ht="15.75" customHeight="1">
      <c r="K865" s="38"/>
      <c r="R865" s="39"/>
      <c r="Y865" s="39"/>
      <c r="AF865" s="39"/>
      <c r="AM865" s="40"/>
      <c r="AT865" s="40"/>
      <c r="BA865" s="41"/>
      <c r="BH865" s="42"/>
      <c r="BO865" s="42"/>
      <c r="BP865" s="43"/>
      <c r="CB865" s="44"/>
      <c r="CC865" s="39"/>
      <c r="CD865" s="39"/>
      <c r="CE865" s="39"/>
      <c r="CF865" s="40"/>
      <c r="CG865" s="40"/>
      <c r="CH865" s="41"/>
      <c r="CI865" s="45"/>
      <c r="CJ865" s="45"/>
      <c r="CK865" s="45"/>
      <c r="CL865" s="45"/>
    </row>
    <row r="866" ht="15.75" customHeight="1">
      <c r="K866" s="38"/>
      <c r="R866" s="39"/>
      <c r="Y866" s="39"/>
      <c r="AF866" s="39"/>
      <c r="AM866" s="40"/>
      <c r="AT866" s="40"/>
      <c r="BA866" s="41"/>
      <c r="BH866" s="42"/>
      <c r="BO866" s="42"/>
      <c r="BP866" s="43"/>
      <c r="CB866" s="44"/>
      <c r="CC866" s="39"/>
      <c r="CD866" s="39"/>
      <c r="CE866" s="39"/>
      <c r="CF866" s="40"/>
      <c r="CG866" s="40"/>
      <c r="CH866" s="41"/>
      <c r="CI866" s="45"/>
      <c r="CJ866" s="45"/>
      <c r="CK866" s="45"/>
      <c r="CL866" s="45"/>
    </row>
    <row r="867" ht="15.75" customHeight="1">
      <c r="K867" s="38"/>
      <c r="R867" s="39"/>
      <c r="Y867" s="39"/>
      <c r="AF867" s="39"/>
      <c r="AM867" s="40"/>
      <c r="AT867" s="40"/>
      <c r="BA867" s="41"/>
      <c r="BH867" s="42"/>
      <c r="BO867" s="42"/>
      <c r="BP867" s="43"/>
      <c r="CB867" s="44"/>
      <c r="CC867" s="39"/>
      <c r="CD867" s="39"/>
      <c r="CE867" s="39"/>
      <c r="CF867" s="40"/>
      <c r="CG867" s="40"/>
      <c r="CH867" s="41"/>
      <c r="CI867" s="45"/>
      <c r="CJ867" s="45"/>
      <c r="CK867" s="45"/>
      <c r="CL867" s="45"/>
    </row>
    <row r="868" ht="15.75" customHeight="1">
      <c r="K868" s="38"/>
      <c r="R868" s="39"/>
      <c r="Y868" s="39"/>
      <c r="AF868" s="39"/>
      <c r="AM868" s="40"/>
      <c r="AT868" s="40"/>
      <c r="BA868" s="41"/>
      <c r="BH868" s="42"/>
      <c r="BO868" s="42"/>
      <c r="BP868" s="43"/>
      <c r="CB868" s="44"/>
      <c r="CC868" s="39"/>
      <c r="CD868" s="39"/>
      <c r="CE868" s="39"/>
      <c r="CF868" s="40"/>
      <c r="CG868" s="40"/>
      <c r="CH868" s="41"/>
      <c r="CI868" s="45"/>
      <c r="CJ868" s="45"/>
      <c r="CK868" s="45"/>
      <c r="CL868" s="45"/>
    </row>
    <row r="869" ht="15.75" customHeight="1">
      <c r="K869" s="38"/>
      <c r="R869" s="39"/>
      <c r="Y869" s="39"/>
      <c r="AF869" s="39"/>
      <c r="AM869" s="40"/>
      <c r="AT869" s="40"/>
      <c r="BA869" s="41"/>
      <c r="BH869" s="42"/>
      <c r="BO869" s="42"/>
      <c r="BP869" s="43"/>
      <c r="CB869" s="44"/>
      <c r="CC869" s="39"/>
      <c r="CD869" s="39"/>
      <c r="CE869" s="39"/>
      <c r="CF869" s="40"/>
      <c r="CG869" s="40"/>
      <c r="CH869" s="41"/>
      <c r="CI869" s="45"/>
      <c r="CJ869" s="45"/>
      <c r="CK869" s="45"/>
      <c r="CL869" s="45"/>
    </row>
    <row r="870" ht="15.75" customHeight="1">
      <c r="K870" s="38"/>
      <c r="R870" s="39"/>
      <c r="Y870" s="39"/>
      <c r="AF870" s="39"/>
      <c r="AM870" s="40"/>
      <c r="AT870" s="40"/>
      <c r="BA870" s="41"/>
      <c r="BH870" s="42"/>
      <c r="BO870" s="42"/>
      <c r="BP870" s="43"/>
      <c r="CB870" s="44"/>
      <c r="CC870" s="39"/>
      <c r="CD870" s="39"/>
      <c r="CE870" s="39"/>
      <c r="CF870" s="40"/>
      <c r="CG870" s="40"/>
      <c r="CH870" s="41"/>
      <c r="CI870" s="45"/>
      <c r="CJ870" s="45"/>
      <c r="CK870" s="45"/>
      <c r="CL870" s="45"/>
    </row>
    <row r="871" ht="15.75" customHeight="1">
      <c r="K871" s="38"/>
      <c r="R871" s="39"/>
      <c r="Y871" s="39"/>
      <c r="AF871" s="39"/>
      <c r="AM871" s="40"/>
      <c r="AT871" s="40"/>
      <c r="BA871" s="41"/>
      <c r="BH871" s="42"/>
      <c r="BO871" s="42"/>
      <c r="BP871" s="43"/>
      <c r="CB871" s="44"/>
      <c r="CC871" s="39"/>
      <c r="CD871" s="39"/>
      <c r="CE871" s="39"/>
      <c r="CF871" s="40"/>
      <c r="CG871" s="40"/>
      <c r="CH871" s="41"/>
      <c r="CI871" s="45"/>
      <c r="CJ871" s="45"/>
      <c r="CK871" s="45"/>
      <c r="CL871" s="45"/>
    </row>
    <row r="872" ht="15.75" customHeight="1">
      <c r="K872" s="38"/>
      <c r="R872" s="39"/>
      <c r="Y872" s="39"/>
      <c r="AF872" s="39"/>
      <c r="AM872" s="40"/>
      <c r="AT872" s="40"/>
      <c r="BA872" s="41"/>
      <c r="BH872" s="42"/>
      <c r="BO872" s="42"/>
      <c r="BP872" s="43"/>
      <c r="CB872" s="44"/>
      <c r="CC872" s="39"/>
      <c r="CD872" s="39"/>
      <c r="CE872" s="39"/>
      <c r="CF872" s="40"/>
      <c r="CG872" s="40"/>
      <c r="CH872" s="41"/>
      <c r="CI872" s="45"/>
      <c r="CJ872" s="45"/>
      <c r="CK872" s="45"/>
      <c r="CL872" s="45"/>
    </row>
    <row r="873" ht="15.75" customHeight="1">
      <c r="K873" s="38"/>
      <c r="R873" s="39"/>
      <c r="Y873" s="39"/>
      <c r="AF873" s="39"/>
      <c r="AM873" s="40"/>
      <c r="AT873" s="40"/>
      <c r="BA873" s="41"/>
      <c r="BH873" s="42"/>
      <c r="BO873" s="42"/>
      <c r="BP873" s="43"/>
      <c r="CB873" s="44"/>
      <c r="CC873" s="39"/>
      <c r="CD873" s="39"/>
      <c r="CE873" s="39"/>
      <c r="CF873" s="40"/>
      <c r="CG873" s="40"/>
      <c r="CH873" s="41"/>
      <c r="CI873" s="45"/>
      <c r="CJ873" s="45"/>
      <c r="CK873" s="45"/>
      <c r="CL873" s="45"/>
    </row>
    <row r="874" ht="15.75" customHeight="1">
      <c r="K874" s="38"/>
      <c r="R874" s="39"/>
      <c r="Y874" s="39"/>
      <c r="AF874" s="39"/>
      <c r="AM874" s="40"/>
      <c r="AT874" s="40"/>
      <c r="BA874" s="41"/>
      <c r="BH874" s="42"/>
      <c r="BO874" s="42"/>
      <c r="BP874" s="43"/>
      <c r="CB874" s="44"/>
      <c r="CC874" s="39"/>
      <c r="CD874" s="39"/>
      <c r="CE874" s="39"/>
      <c r="CF874" s="40"/>
      <c r="CG874" s="40"/>
      <c r="CH874" s="41"/>
      <c r="CI874" s="45"/>
      <c r="CJ874" s="45"/>
      <c r="CK874" s="45"/>
      <c r="CL874" s="45"/>
    </row>
    <row r="875" ht="15.75" customHeight="1">
      <c r="K875" s="38"/>
      <c r="R875" s="39"/>
      <c r="Y875" s="39"/>
      <c r="AF875" s="39"/>
      <c r="AM875" s="40"/>
      <c r="AT875" s="40"/>
      <c r="BA875" s="41"/>
      <c r="BH875" s="42"/>
      <c r="BO875" s="42"/>
      <c r="BP875" s="43"/>
      <c r="CB875" s="44"/>
      <c r="CC875" s="39"/>
      <c r="CD875" s="39"/>
      <c r="CE875" s="39"/>
      <c r="CF875" s="40"/>
      <c r="CG875" s="40"/>
      <c r="CH875" s="41"/>
      <c r="CI875" s="45"/>
      <c r="CJ875" s="45"/>
      <c r="CK875" s="45"/>
      <c r="CL875" s="45"/>
    </row>
    <row r="876" ht="15.75" customHeight="1">
      <c r="K876" s="38"/>
      <c r="R876" s="39"/>
      <c r="Y876" s="39"/>
      <c r="AF876" s="39"/>
      <c r="AM876" s="40"/>
      <c r="AT876" s="40"/>
      <c r="BA876" s="41"/>
      <c r="BH876" s="42"/>
      <c r="BO876" s="42"/>
      <c r="BP876" s="43"/>
      <c r="CB876" s="44"/>
      <c r="CC876" s="39"/>
      <c r="CD876" s="39"/>
      <c r="CE876" s="39"/>
      <c r="CF876" s="40"/>
      <c r="CG876" s="40"/>
      <c r="CH876" s="41"/>
      <c r="CI876" s="45"/>
      <c r="CJ876" s="45"/>
      <c r="CK876" s="45"/>
      <c r="CL876" s="45"/>
    </row>
    <row r="877" ht="15.75" customHeight="1">
      <c r="K877" s="38"/>
      <c r="R877" s="39"/>
      <c r="Y877" s="39"/>
      <c r="AF877" s="39"/>
      <c r="AM877" s="40"/>
      <c r="AT877" s="40"/>
      <c r="BA877" s="41"/>
      <c r="BH877" s="42"/>
      <c r="BO877" s="42"/>
      <c r="BP877" s="43"/>
      <c r="CB877" s="44"/>
      <c r="CC877" s="39"/>
      <c r="CD877" s="39"/>
      <c r="CE877" s="39"/>
      <c r="CF877" s="40"/>
      <c r="CG877" s="40"/>
      <c r="CH877" s="41"/>
      <c r="CI877" s="45"/>
      <c r="CJ877" s="45"/>
      <c r="CK877" s="45"/>
      <c r="CL877" s="45"/>
    </row>
    <row r="878" ht="15.75" customHeight="1">
      <c r="K878" s="38"/>
      <c r="R878" s="39"/>
      <c r="Y878" s="39"/>
      <c r="AF878" s="39"/>
      <c r="AM878" s="40"/>
      <c r="AT878" s="40"/>
      <c r="BA878" s="41"/>
      <c r="BH878" s="42"/>
      <c r="BO878" s="42"/>
      <c r="BP878" s="43"/>
      <c r="CB878" s="44"/>
      <c r="CC878" s="39"/>
      <c r="CD878" s="39"/>
      <c r="CE878" s="39"/>
      <c r="CF878" s="40"/>
      <c r="CG878" s="40"/>
      <c r="CH878" s="41"/>
      <c r="CI878" s="45"/>
      <c r="CJ878" s="45"/>
      <c r="CK878" s="45"/>
      <c r="CL878" s="45"/>
    </row>
    <row r="879" ht="15.75" customHeight="1">
      <c r="K879" s="38"/>
      <c r="R879" s="39"/>
      <c r="Y879" s="39"/>
      <c r="AF879" s="39"/>
      <c r="AM879" s="40"/>
      <c r="AT879" s="40"/>
      <c r="BA879" s="41"/>
      <c r="BH879" s="42"/>
      <c r="BO879" s="42"/>
      <c r="BP879" s="43"/>
      <c r="CB879" s="44"/>
      <c r="CC879" s="39"/>
      <c r="CD879" s="39"/>
      <c r="CE879" s="39"/>
      <c r="CF879" s="40"/>
      <c r="CG879" s="40"/>
      <c r="CH879" s="41"/>
      <c r="CI879" s="45"/>
      <c r="CJ879" s="45"/>
      <c r="CK879" s="45"/>
      <c r="CL879" s="45"/>
    </row>
    <row r="880" ht="15.75" customHeight="1">
      <c r="K880" s="38"/>
      <c r="R880" s="39"/>
      <c r="Y880" s="39"/>
      <c r="AF880" s="39"/>
      <c r="AM880" s="40"/>
      <c r="AT880" s="40"/>
      <c r="BA880" s="41"/>
      <c r="BH880" s="42"/>
      <c r="BO880" s="42"/>
      <c r="BP880" s="43"/>
      <c r="CB880" s="44"/>
      <c r="CC880" s="39"/>
      <c r="CD880" s="39"/>
      <c r="CE880" s="39"/>
      <c r="CF880" s="40"/>
      <c r="CG880" s="40"/>
      <c r="CH880" s="41"/>
      <c r="CI880" s="45"/>
      <c r="CJ880" s="45"/>
      <c r="CK880" s="45"/>
      <c r="CL880" s="45"/>
    </row>
    <row r="881" ht="15.75" customHeight="1">
      <c r="K881" s="38"/>
      <c r="R881" s="39"/>
      <c r="Y881" s="39"/>
      <c r="AF881" s="39"/>
      <c r="AM881" s="40"/>
      <c r="AT881" s="40"/>
      <c r="BA881" s="41"/>
      <c r="BH881" s="42"/>
      <c r="BO881" s="42"/>
      <c r="BP881" s="43"/>
      <c r="CB881" s="44"/>
      <c r="CC881" s="39"/>
      <c r="CD881" s="39"/>
      <c r="CE881" s="39"/>
      <c r="CF881" s="40"/>
      <c r="CG881" s="40"/>
      <c r="CH881" s="41"/>
      <c r="CI881" s="45"/>
      <c r="CJ881" s="45"/>
      <c r="CK881" s="45"/>
      <c r="CL881" s="45"/>
    </row>
    <row r="882" ht="15.75" customHeight="1">
      <c r="K882" s="38"/>
      <c r="R882" s="39"/>
      <c r="Y882" s="39"/>
      <c r="AF882" s="39"/>
      <c r="AM882" s="40"/>
      <c r="AT882" s="40"/>
      <c r="BA882" s="41"/>
      <c r="BH882" s="42"/>
      <c r="BO882" s="42"/>
      <c r="BP882" s="43"/>
      <c r="CB882" s="44"/>
      <c r="CC882" s="39"/>
      <c r="CD882" s="39"/>
      <c r="CE882" s="39"/>
      <c r="CF882" s="40"/>
      <c r="CG882" s="40"/>
      <c r="CH882" s="41"/>
      <c r="CI882" s="45"/>
      <c r="CJ882" s="45"/>
      <c r="CK882" s="45"/>
      <c r="CL882" s="45"/>
    </row>
    <row r="883" ht="15.75" customHeight="1">
      <c r="K883" s="38"/>
      <c r="R883" s="39"/>
      <c r="Y883" s="39"/>
      <c r="AF883" s="39"/>
      <c r="AM883" s="40"/>
      <c r="AT883" s="40"/>
      <c r="BA883" s="41"/>
      <c r="BH883" s="42"/>
      <c r="BO883" s="42"/>
      <c r="BP883" s="43"/>
      <c r="CB883" s="44"/>
      <c r="CC883" s="39"/>
      <c r="CD883" s="39"/>
      <c r="CE883" s="39"/>
      <c r="CF883" s="40"/>
      <c r="CG883" s="40"/>
      <c r="CH883" s="41"/>
      <c r="CI883" s="45"/>
      <c r="CJ883" s="45"/>
      <c r="CK883" s="45"/>
      <c r="CL883" s="45"/>
    </row>
    <row r="884" ht="15.75" customHeight="1">
      <c r="K884" s="38"/>
      <c r="R884" s="39"/>
      <c r="Y884" s="39"/>
      <c r="AF884" s="39"/>
      <c r="AM884" s="40"/>
      <c r="AT884" s="40"/>
      <c r="BA884" s="41"/>
      <c r="BH884" s="42"/>
      <c r="BO884" s="42"/>
      <c r="BP884" s="43"/>
      <c r="CB884" s="44"/>
      <c r="CC884" s="39"/>
      <c r="CD884" s="39"/>
      <c r="CE884" s="39"/>
      <c r="CF884" s="40"/>
      <c r="CG884" s="40"/>
      <c r="CH884" s="41"/>
      <c r="CI884" s="45"/>
      <c r="CJ884" s="45"/>
      <c r="CK884" s="45"/>
      <c r="CL884" s="45"/>
    </row>
    <row r="885" ht="15.75" customHeight="1">
      <c r="K885" s="38"/>
      <c r="R885" s="39"/>
      <c r="Y885" s="39"/>
      <c r="AF885" s="39"/>
      <c r="AM885" s="40"/>
      <c r="AT885" s="40"/>
      <c r="BA885" s="41"/>
      <c r="BH885" s="42"/>
      <c r="BO885" s="42"/>
      <c r="BP885" s="43"/>
      <c r="CB885" s="44"/>
      <c r="CC885" s="39"/>
      <c r="CD885" s="39"/>
      <c r="CE885" s="39"/>
      <c r="CF885" s="40"/>
      <c r="CG885" s="40"/>
      <c r="CH885" s="41"/>
      <c r="CI885" s="45"/>
      <c r="CJ885" s="45"/>
      <c r="CK885" s="45"/>
      <c r="CL885" s="45"/>
    </row>
    <row r="886" ht="15.75" customHeight="1">
      <c r="K886" s="38"/>
      <c r="R886" s="39"/>
      <c r="Y886" s="39"/>
      <c r="AF886" s="39"/>
      <c r="AM886" s="40"/>
      <c r="AT886" s="40"/>
      <c r="BA886" s="41"/>
      <c r="BH886" s="42"/>
      <c r="BO886" s="42"/>
      <c r="BP886" s="43"/>
      <c r="CB886" s="44"/>
      <c r="CC886" s="39"/>
      <c r="CD886" s="39"/>
      <c r="CE886" s="39"/>
      <c r="CF886" s="40"/>
      <c r="CG886" s="40"/>
      <c r="CH886" s="41"/>
      <c r="CI886" s="45"/>
      <c r="CJ886" s="45"/>
      <c r="CK886" s="45"/>
      <c r="CL886" s="45"/>
    </row>
    <row r="887" ht="15.75" customHeight="1">
      <c r="K887" s="38"/>
      <c r="R887" s="39"/>
      <c r="Y887" s="39"/>
      <c r="AF887" s="39"/>
      <c r="AM887" s="40"/>
      <c r="AT887" s="40"/>
      <c r="BA887" s="41"/>
      <c r="BH887" s="42"/>
      <c r="BO887" s="42"/>
      <c r="BP887" s="43"/>
      <c r="CB887" s="44"/>
      <c r="CC887" s="39"/>
      <c r="CD887" s="39"/>
      <c r="CE887" s="39"/>
      <c r="CF887" s="40"/>
      <c r="CG887" s="40"/>
      <c r="CH887" s="41"/>
      <c r="CI887" s="45"/>
      <c r="CJ887" s="45"/>
      <c r="CK887" s="45"/>
      <c r="CL887" s="45"/>
    </row>
    <row r="888" ht="15.75" customHeight="1">
      <c r="K888" s="38"/>
      <c r="R888" s="39"/>
      <c r="Y888" s="39"/>
      <c r="AF888" s="39"/>
      <c r="AM888" s="40"/>
      <c r="AT888" s="40"/>
      <c r="BA888" s="41"/>
      <c r="BH888" s="42"/>
      <c r="BO888" s="42"/>
      <c r="BP888" s="43"/>
      <c r="CB888" s="44"/>
      <c r="CC888" s="39"/>
      <c r="CD888" s="39"/>
      <c r="CE888" s="39"/>
      <c r="CF888" s="40"/>
      <c r="CG888" s="40"/>
      <c r="CH888" s="41"/>
      <c r="CI888" s="45"/>
      <c r="CJ888" s="45"/>
      <c r="CK888" s="45"/>
      <c r="CL888" s="45"/>
    </row>
    <row r="889" ht="15.75" customHeight="1">
      <c r="K889" s="38"/>
      <c r="R889" s="39"/>
      <c r="Y889" s="39"/>
      <c r="AF889" s="39"/>
      <c r="AM889" s="40"/>
      <c r="AT889" s="40"/>
      <c r="BA889" s="41"/>
      <c r="BH889" s="42"/>
      <c r="BO889" s="42"/>
      <c r="BP889" s="43"/>
      <c r="CB889" s="44"/>
      <c r="CC889" s="39"/>
      <c r="CD889" s="39"/>
      <c r="CE889" s="39"/>
      <c r="CF889" s="40"/>
      <c r="CG889" s="40"/>
      <c r="CH889" s="41"/>
      <c r="CI889" s="45"/>
      <c r="CJ889" s="45"/>
      <c r="CK889" s="45"/>
      <c r="CL889" s="45"/>
    </row>
    <row r="890" ht="15.75" customHeight="1">
      <c r="K890" s="38"/>
      <c r="R890" s="39"/>
      <c r="Y890" s="39"/>
      <c r="AF890" s="39"/>
      <c r="AM890" s="40"/>
      <c r="AT890" s="40"/>
      <c r="BA890" s="41"/>
      <c r="BH890" s="42"/>
      <c r="BO890" s="42"/>
      <c r="BP890" s="43"/>
      <c r="CB890" s="44"/>
      <c r="CC890" s="39"/>
      <c r="CD890" s="39"/>
      <c r="CE890" s="39"/>
      <c r="CF890" s="40"/>
      <c r="CG890" s="40"/>
      <c r="CH890" s="41"/>
      <c r="CI890" s="45"/>
      <c r="CJ890" s="45"/>
      <c r="CK890" s="45"/>
      <c r="CL890" s="45"/>
    </row>
    <row r="891" ht="15.75" customHeight="1">
      <c r="K891" s="38"/>
      <c r="R891" s="39"/>
      <c r="Y891" s="39"/>
      <c r="AF891" s="39"/>
      <c r="AM891" s="40"/>
      <c r="AT891" s="40"/>
      <c r="BA891" s="41"/>
      <c r="BH891" s="42"/>
      <c r="BO891" s="42"/>
      <c r="BP891" s="43"/>
      <c r="CB891" s="44"/>
      <c r="CC891" s="39"/>
      <c r="CD891" s="39"/>
      <c r="CE891" s="39"/>
      <c r="CF891" s="40"/>
      <c r="CG891" s="40"/>
      <c r="CH891" s="41"/>
      <c r="CI891" s="45"/>
      <c r="CJ891" s="45"/>
      <c r="CK891" s="45"/>
      <c r="CL891" s="45"/>
    </row>
    <row r="892" ht="15.75" customHeight="1">
      <c r="K892" s="38"/>
      <c r="R892" s="39"/>
      <c r="Y892" s="39"/>
      <c r="AF892" s="39"/>
      <c r="AM892" s="40"/>
      <c r="AT892" s="40"/>
      <c r="BA892" s="41"/>
      <c r="BH892" s="42"/>
      <c r="BO892" s="42"/>
      <c r="BP892" s="43"/>
      <c r="CB892" s="44"/>
      <c r="CC892" s="39"/>
      <c r="CD892" s="39"/>
      <c r="CE892" s="39"/>
      <c r="CF892" s="40"/>
      <c r="CG892" s="40"/>
      <c r="CH892" s="41"/>
      <c r="CI892" s="45"/>
      <c r="CJ892" s="45"/>
      <c r="CK892" s="45"/>
      <c r="CL892" s="45"/>
    </row>
    <row r="893" ht="15.75" customHeight="1">
      <c r="K893" s="38"/>
      <c r="R893" s="39"/>
      <c r="Y893" s="39"/>
      <c r="AF893" s="39"/>
      <c r="AM893" s="40"/>
      <c r="AT893" s="40"/>
      <c r="BA893" s="41"/>
      <c r="BH893" s="42"/>
      <c r="BO893" s="42"/>
      <c r="BP893" s="43"/>
      <c r="CB893" s="44"/>
      <c r="CC893" s="39"/>
      <c r="CD893" s="39"/>
      <c r="CE893" s="39"/>
      <c r="CF893" s="40"/>
      <c r="CG893" s="40"/>
      <c r="CH893" s="41"/>
      <c r="CI893" s="45"/>
      <c r="CJ893" s="45"/>
      <c r="CK893" s="45"/>
      <c r="CL893" s="45"/>
    </row>
    <row r="894" ht="15.75" customHeight="1">
      <c r="K894" s="38"/>
      <c r="R894" s="39"/>
      <c r="Y894" s="39"/>
      <c r="AF894" s="39"/>
      <c r="AM894" s="40"/>
      <c r="AT894" s="40"/>
      <c r="BA894" s="41"/>
      <c r="BH894" s="42"/>
      <c r="BO894" s="42"/>
      <c r="BP894" s="43"/>
      <c r="CB894" s="44"/>
      <c r="CC894" s="39"/>
      <c r="CD894" s="39"/>
      <c r="CE894" s="39"/>
      <c r="CF894" s="40"/>
      <c r="CG894" s="40"/>
      <c r="CH894" s="41"/>
      <c r="CI894" s="45"/>
      <c r="CJ894" s="45"/>
      <c r="CK894" s="45"/>
      <c r="CL894" s="45"/>
    </row>
    <row r="895" ht="15.75" customHeight="1">
      <c r="K895" s="38"/>
      <c r="R895" s="39"/>
      <c r="Y895" s="39"/>
      <c r="AF895" s="39"/>
      <c r="AM895" s="40"/>
      <c r="AT895" s="40"/>
      <c r="BA895" s="41"/>
      <c r="BH895" s="42"/>
      <c r="BO895" s="42"/>
      <c r="BP895" s="43"/>
      <c r="CB895" s="44"/>
      <c r="CC895" s="39"/>
      <c r="CD895" s="39"/>
      <c r="CE895" s="39"/>
      <c r="CF895" s="40"/>
      <c r="CG895" s="40"/>
      <c r="CH895" s="41"/>
      <c r="CI895" s="45"/>
      <c r="CJ895" s="45"/>
      <c r="CK895" s="45"/>
      <c r="CL895" s="45"/>
    </row>
    <row r="896" ht="15.75" customHeight="1">
      <c r="K896" s="38"/>
      <c r="R896" s="39"/>
      <c r="Y896" s="39"/>
      <c r="AF896" s="39"/>
      <c r="AM896" s="40"/>
      <c r="AT896" s="40"/>
      <c r="BA896" s="41"/>
      <c r="BH896" s="42"/>
      <c r="BO896" s="42"/>
      <c r="BP896" s="43"/>
      <c r="CB896" s="44"/>
      <c r="CC896" s="39"/>
      <c r="CD896" s="39"/>
      <c r="CE896" s="39"/>
      <c r="CF896" s="40"/>
      <c r="CG896" s="40"/>
      <c r="CH896" s="41"/>
      <c r="CI896" s="45"/>
      <c r="CJ896" s="45"/>
      <c r="CK896" s="45"/>
      <c r="CL896" s="45"/>
    </row>
    <row r="897" ht="15.75" customHeight="1">
      <c r="K897" s="38"/>
      <c r="R897" s="39"/>
      <c r="Y897" s="39"/>
      <c r="AF897" s="39"/>
      <c r="AM897" s="40"/>
      <c r="AT897" s="40"/>
      <c r="BA897" s="41"/>
      <c r="BH897" s="42"/>
      <c r="BO897" s="42"/>
      <c r="BP897" s="43"/>
      <c r="CB897" s="44"/>
      <c r="CC897" s="39"/>
      <c r="CD897" s="39"/>
      <c r="CE897" s="39"/>
      <c r="CF897" s="40"/>
      <c r="CG897" s="40"/>
      <c r="CH897" s="41"/>
      <c r="CI897" s="45"/>
      <c r="CJ897" s="45"/>
      <c r="CK897" s="45"/>
      <c r="CL897" s="45"/>
    </row>
    <row r="898" ht="15.75" customHeight="1">
      <c r="K898" s="38"/>
      <c r="R898" s="39"/>
      <c r="Y898" s="39"/>
      <c r="AF898" s="39"/>
      <c r="AM898" s="40"/>
      <c r="AT898" s="40"/>
      <c r="BA898" s="41"/>
      <c r="BH898" s="42"/>
      <c r="BO898" s="42"/>
      <c r="BP898" s="43"/>
      <c r="CB898" s="44"/>
      <c r="CC898" s="39"/>
      <c r="CD898" s="39"/>
      <c r="CE898" s="39"/>
      <c r="CF898" s="40"/>
      <c r="CG898" s="40"/>
      <c r="CH898" s="41"/>
      <c r="CI898" s="45"/>
      <c r="CJ898" s="45"/>
      <c r="CK898" s="45"/>
      <c r="CL898" s="45"/>
    </row>
    <row r="899" ht="15.75" customHeight="1">
      <c r="K899" s="38"/>
      <c r="R899" s="39"/>
      <c r="Y899" s="39"/>
      <c r="AF899" s="39"/>
      <c r="AM899" s="40"/>
      <c r="AT899" s="40"/>
      <c r="BA899" s="41"/>
      <c r="BH899" s="42"/>
      <c r="BO899" s="42"/>
      <c r="BP899" s="43"/>
      <c r="CB899" s="44"/>
      <c r="CC899" s="39"/>
      <c r="CD899" s="39"/>
      <c r="CE899" s="39"/>
      <c r="CF899" s="40"/>
      <c r="CG899" s="40"/>
      <c r="CH899" s="41"/>
      <c r="CI899" s="45"/>
      <c r="CJ899" s="45"/>
      <c r="CK899" s="45"/>
      <c r="CL899" s="45"/>
    </row>
    <row r="900" ht="15.75" customHeight="1">
      <c r="K900" s="38"/>
      <c r="R900" s="39"/>
      <c r="Y900" s="39"/>
      <c r="AF900" s="39"/>
      <c r="AM900" s="40"/>
      <c r="AT900" s="40"/>
      <c r="BA900" s="41"/>
      <c r="BH900" s="42"/>
      <c r="BO900" s="42"/>
      <c r="BP900" s="43"/>
      <c r="CB900" s="44"/>
      <c r="CC900" s="39"/>
      <c r="CD900" s="39"/>
      <c r="CE900" s="39"/>
      <c r="CF900" s="40"/>
      <c r="CG900" s="40"/>
      <c r="CH900" s="41"/>
      <c r="CI900" s="45"/>
      <c r="CJ900" s="45"/>
      <c r="CK900" s="45"/>
      <c r="CL900" s="45"/>
    </row>
    <row r="901" ht="15.75" customHeight="1">
      <c r="K901" s="38"/>
      <c r="R901" s="39"/>
      <c r="Y901" s="39"/>
      <c r="AF901" s="39"/>
      <c r="AM901" s="40"/>
      <c r="AT901" s="40"/>
      <c r="BA901" s="41"/>
      <c r="BH901" s="42"/>
      <c r="BO901" s="42"/>
      <c r="BP901" s="43"/>
      <c r="CB901" s="44"/>
      <c r="CC901" s="39"/>
      <c r="CD901" s="39"/>
      <c r="CE901" s="39"/>
      <c r="CF901" s="40"/>
      <c r="CG901" s="40"/>
      <c r="CH901" s="41"/>
      <c r="CI901" s="45"/>
      <c r="CJ901" s="45"/>
      <c r="CK901" s="45"/>
      <c r="CL901" s="45"/>
    </row>
    <row r="902" ht="15.75" customHeight="1">
      <c r="K902" s="38"/>
      <c r="R902" s="39"/>
      <c r="Y902" s="39"/>
      <c r="AF902" s="39"/>
      <c r="AM902" s="40"/>
      <c r="AT902" s="40"/>
      <c r="BA902" s="41"/>
      <c r="BH902" s="42"/>
      <c r="BO902" s="42"/>
      <c r="BP902" s="43"/>
      <c r="CB902" s="44"/>
      <c r="CC902" s="39"/>
      <c r="CD902" s="39"/>
      <c r="CE902" s="39"/>
      <c r="CF902" s="40"/>
      <c r="CG902" s="40"/>
      <c r="CH902" s="41"/>
      <c r="CI902" s="45"/>
      <c r="CJ902" s="45"/>
      <c r="CK902" s="45"/>
      <c r="CL902" s="45"/>
    </row>
    <row r="903" ht="15.75" customHeight="1">
      <c r="K903" s="38"/>
      <c r="R903" s="39"/>
      <c r="Y903" s="39"/>
      <c r="AF903" s="39"/>
      <c r="AM903" s="40"/>
      <c r="AT903" s="40"/>
      <c r="BA903" s="41"/>
      <c r="BH903" s="42"/>
      <c r="BO903" s="42"/>
      <c r="BP903" s="43"/>
      <c r="CB903" s="44"/>
      <c r="CC903" s="39"/>
      <c r="CD903" s="39"/>
      <c r="CE903" s="39"/>
      <c r="CF903" s="40"/>
      <c r="CG903" s="40"/>
      <c r="CH903" s="41"/>
      <c r="CI903" s="45"/>
      <c r="CJ903" s="45"/>
      <c r="CK903" s="45"/>
      <c r="CL903" s="45"/>
    </row>
    <row r="904" ht="15.75" customHeight="1">
      <c r="K904" s="38"/>
      <c r="R904" s="39"/>
      <c r="Y904" s="39"/>
      <c r="AF904" s="39"/>
      <c r="AM904" s="40"/>
      <c r="AT904" s="40"/>
      <c r="BA904" s="41"/>
      <c r="BH904" s="42"/>
      <c r="BO904" s="42"/>
      <c r="BP904" s="43"/>
      <c r="CB904" s="44"/>
      <c r="CC904" s="39"/>
      <c r="CD904" s="39"/>
      <c r="CE904" s="39"/>
      <c r="CF904" s="40"/>
      <c r="CG904" s="40"/>
      <c r="CH904" s="41"/>
      <c r="CI904" s="45"/>
      <c r="CJ904" s="45"/>
      <c r="CK904" s="45"/>
      <c r="CL904" s="45"/>
    </row>
    <row r="905" ht="15.75" customHeight="1">
      <c r="K905" s="38"/>
      <c r="R905" s="39"/>
      <c r="Y905" s="39"/>
      <c r="AF905" s="39"/>
      <c r="AM905" s="40"/>
      <c r="AT905" s="40"/>
      <c r="BA905" s="41"/>
      <c r="BH905" s="42"/>
      <c r="BO905" s="42"/>
      <c r="BP905" s="43"/>
      <c r="CB905" s="44"/>
      <c r="CC905" s="39"/>
      <c r="CD905" s="39"/>
      <c r="CE905" s="39"/>
      <c r="CF905" s="40"/>
      <c r="CG905" s="40"/>
      <c r="CH905" s="41"/>
      <c r="CI905" s="45"/>
      <c r="CJ905" s="45"/>
      <c r="CK905" s="45"/>
      <c r="CL905" s="45"/>
    </row>
    <row r="906" ht="15.75" customHeight="1">
      <c r="K906" s="38"/>
      <c r="R906" s="39"/>
      <c r="Y906" s="39"/>
      <c r="AF906" s="39"/>
      <c r="AM906" s="40"/>
      <c r="AT906" s="40"/>
      <c r="BA906" s="41"/>
      <c r="BH906" s="42"/>
      <c r="BO906" s="42"/>
      <c r="BP906" s="43"/>
      <c r="CB906" s="44"/>
      <c r="CC906" s="39"/>
      <c r="CD906" s="39"/>
      <c r="CE906" s="39"/>
      <c r="CF906" s="40"/>
      <c r="CG906" s="40"/>
      <c r="CH906" s="41"/>
      <c r="CI906" s="45"/>
      <c r="CJ906" s="45"/>
      <c r="CK906" s="45"/>
      <c r="CL906" s="45"/>
    </row>
    <row r="907" ht="15.75" customHeight="1">
      <c r="K907" s="38"/>
      <c r="R907" s="39"/>
      <c r="Y907" s="39"/>
      <c r="AF907" s="39"/>
      <c r="AM907" s="40"/>
      <c r="AT907" s="40"/>
      <c r="BA907" s="41"/>
      <c r="BH907" s="42"/>
      <c r="BO907" s="42"/>
      <c r="BP907" s="43"/>
      <c r="CB907" s="44"/>
      <c r="CC907" s="39"/>
      <c r="CD907" s="39"/>
      <c r="CE907" s="39"/>
      <c r="CF907" s="40"/>
      <c r="CG907" s="40"/>
      <c r="CH907" s="41"/>
      <c r="CI907" s="45"/>
      <c r="CJ907" s="45"/>
      <c r="CK907" s="45"/>
      <c r="CL907" s="45"/>
    </row>
    <row r="908" ht="15.75" customHeight="1">
      <c r="K908" s="38"/>
      <c r="R908" s="39"/>
      <c r="Y908" s="39"/>
      <c r="AF908" s="39"/>
      <c r="AM908" s="40"/>
      <c r="AT908" s="40"/>
      <c r="BA908" s="41"/>
      <c r="BH908" s="42"/>
      <c r="BO908" s="42"/>
      <c r="BP908" s="43"/>
      <c r="CB908" s="44"/>
      <c r="CC908" s="39"/>
      <c r="CD908" s="39"/>
      <c r="CE908" s="39"/>
      <c r="CF908" s="40"/>
      <c r="CG908" s="40"/>
      <c r="CH908" s="41"/>
      <c r="CI908" s="45"/>
      <c r="CJ908" s="45"/>
      <c r="CK908" s="45"/>
      <c r="CL908" s="45"/>
    </row>
    <row r="909" ht="15.75" customHeight="1">
      <c r="K909" s="38"/>
      <c r="R909" s="39"/>
      <c r="Y909" s="39"/>
      <c r="AF909" s="39"/>
      <c r="AM909" s="40"/>
      <c r="AT909" s="40"/>
      <c r="BA909" s="41"/>
      <c r="BH909" s="42"/>
      <c r="BO909" s="42"/>
      <c r="BP909" s="43"/>
      <c r="CB909" s="44"/>
      <c r="CC909" s="39"/>
      <c r="CD909" s="39"/>
      <c r="CE909" s="39"/>
      <c r="CF909" s="40"/>
      <c r="CG909" s="40"/>
      <c r="CH909" s="41"/>
      <c r="CI909" s="45"/>
      <c r="CJ909" s="45"/>
      <c r="CK909" s="45"/>
      <c r="CL909" s="45"/>
    </row>
    <row r="910" ht="15.75" customHeight="1">
      <c r="K910" s="38"/>
      <c r="R910" s="39"/>
      <c r="Y910" s="39"/>
      <c r="AF910" s="39"/>
      <c r="AM910" s="40"/>
      <c r="AT910" s="40"/>
      <c r="BA910" s="41"/>
      <c r="BH910" s="42"/>
      <c r="BO910" s="42"/>
      <c r="BP910" s="43"/>
      <c r="CB910" s="44"/>
      <c r="CC910" s="39"/>
      <c r="CD910" s="39"/>
      <c r="CE910" s="39"/>
      <c r="CF910" s="40"/>
      <c r="CG910" s="40"/>
      <c r="CH910" s="41"/>
      <c r="CI910" s="45"/>
      <c r="CJ910" s="45"/>
      <c r="CK910" s="45"/>
      <c r="CL910" s="45"/>
    </row>
    <row r="911" ht="15.75" customHeight="1">
      <c r="K911" s="38"/>
      <c r="R911" s="39"/>
      <c r="Y911" s="39"/>
      <c r="AF911" s="39"/>
      <c r="AM911" s="40"/>
      <c r="AT911" s="40"/>
      <c r="BA911" s="41"/>
      <c r="BH911" s="42"/>
      <c r="BO911" s="42"/>
      <c r="BP911" s="43"/>
      <c r="CB911" s="44"/>
      <c r="CC911" s="39"/>
      <c r="CD911" s="39"/>
      <c r="CE911" s="39"/>
      <c r="CF911" s="40"/>
      <c r="CG911" s="40"/>
      <c r="CH911" s="41"/>
      <c r="CI911" s="45"/>
      <c r="CJ911" s="45"/>
      <c r="CK911" s="45"/>
      <c r="CL911" s="45"/>
    </row>
    <row r="912" ht="15.75" customHeight="1">
      <c r="K912" s="38"/>
      <c r="R912" s="39"/>
      <c r="Y912" s="39"/>
      <c r="AF912" s="39"/>
      <c r="AM912" s="40"/>
      <c r="AT912" s="40"/>
      <c r="BA912" s="41"/>
      <c r="BH912" s="42"/>
      <c r="BO912" s="42"/>
      <c r="BP912" s="43"/>
      <c r="CB912" s="44"/>
      <c r="CC912" s="39"/>
      <c r="CD912" s="39"/>
      <c r="CE912" s="39"/>
      <c r="CF912" s="40"/>
      <c r="CG912" s="40"/>
      <c r="CH912" s="41"/>
      <c r="CI912" s="45"/>
      <c r="CJ912" s="45"/>
      <c r="CK912" s="45"/>
      <c r="CL912" s="45"/>
    </row>
    <row r="913" ht="15.75" customHeight="1">
      <c r="K913" s="38"/>
      <c r="R913" s="39"/>
      <c r="Y913" s="39"/>
      <c r="AF913" s="39"/>
      <c r="AM913" s="40"/>
      <c r="AT913" s="40"/>
      <c r="BA913" s="41"/>
      <c r="BH913" s="42"/>
      <c r="BO913" s="42"/>
      <c r="BP913" s="43"/>
      <c r="CB913" s="44"/>
      <c r="CC913" s="39"/>
      <c r="CD913" s="39"/>
      <c r="CE913" s="39"/>
      <c r="CF913" s="40"/>
      <c r="CG913" s="40"/>
      <c r="CH913" s="41"/>
      <c r="CI913" s="45"/>
      <c r="CJ913" s="45"/>
      <c r="CK913" s="45"/>
      <c r="CL913" s="45"/>
    </row>
    <row r="914" ht="15.75" customHeight="1">
      <c r="K914" s="38"/>
      <c r="R914" s="39"/>
      <c r="Y914" s="39"/>
      <c r="AF914" s="39"/>
      <c r="AM914" s="40"/>
      <c r="AT914" s="40"/>
      <c r="BA914" s="41"/>
      <c r="BH914" s="42"/>
      <c r="BO914" s="42"/>
      <c r="BP914" s="43"/>
      <c r="CB914" s="44"/>
      <c r="CC914" s="39"/>
      <c r="CD914" s="39"/>
      <c r="CE914" s="39"/>
      <c r="CF914" s="40"/>
      <c r="CG914" s="40"/>
      <c r="CH914" s="41"/>
      <c r="CI914" s="45"/>
      <c r="CJ914" s="45"/>
      <c r="CK914" s="45"/>
      <c r="CL914" s="45"/>
    </row>
    <row r="915" ht="15.75" customHeight="1">
      <c r="K915" s="38"/>
      <c r="R915" s="39"/>
      <c r="Y915" s="39"/>
      <c r="AF915" s="39"/>
      <c r="AM915" s="40"/>
      <c r="AT915" s="40"/>
      <c r="BA915" s="41"/>
      <c r="BH915" s="42"/>
      <c r="BO915" s="42"/>
      <c r="BP915" s="43"/>
      <c r="CB915" s="44"/>
      <c r="CC915" s="39"/>
      <c r="CD915" s="39"/>
      <c r="CE915" s="39"/>
      <c r="CF915" s="40"/>
      <c r="CG915" s="40"/>
      <c r="CH915" s="41"/>
      <c r="CI915" s="45"/>
      <c r="CJ915" s="45"/>
      <c r="CK915" s="45"/>
      <c r="CL915" s="45"/>
    </row>
    <row r="916" ht="15.75" customHeight="1">
      <c r="K916" s="38"/>
      <c r="R916" s="39"/>
      <c r="Y916" s="39"/>
      <c r="AF916" s="39"/>
      <c r="AM916" s="40"/>
      <c r="AT916" s="40"/>
      <c r="BA916" s="41"/>
      <c r="BH916" s="42"/>
      <c r="BO916" s="42"/>
      <c r="BP916" s="43"/>
      <c r="CB916" s="44"/>
      <c r="CC916" s="39"/>
      <c r="CD916" s="39"/>
      <c r="CE916" s="39"/>
      <c r="CF916" s="40"/>
      <c r="CG916" s="40"/>
      <c r="CH916" s="41"/>
      <c r="CI916" s="45"/>
      <c r="CJ916" s="45"/>
      <c r="CK916" s="45"/>
      <c r="CL916" s="45"/>
    </row>
    <row r="917" ht="15.75" customHeight="1">
      <c r="K917" s="38"/>
      <c r="R917" s="39"/>
      <c r="Y917" s="39"/>
      <c r="AF917" s="39"/>
      <c r="AM917" s="40"/>
      <c r="AT917" s="40"/>
      <c r="BA917" s="41"/>
      <c r="BH917" s="42"/>
      <c r="BO917" s="42"/>
      <c r="BP917" s="43"/>
      <c r="CB917" s="44"/>
      <c r="CC917" s="39"/>
      <c r="CD917" s="39"/>
      <c r="CE917" s="39"/>
      <c r="CF917" s="40"/>
      <c r="CG917" s="40"/>
      <c r="CH917" s="41"/>
      <c r="CI917" s="45"/>
      <c r="CJ917" s="45"/>
      <c r="CK917" s="45"/>
      <c r="CL917" s="45"/>
    </row>
    <row r="918" ht="15.75" customHeight="1">
      <c r="K918" s="38"/>
      <c r="R918" s="39"/>
      <c r="Y918" s="39"/>
      <c r="AF918" s="39"/>
      <c r="AM918" s="40"/>
      <c r="AT918" s="40"/>
      <c r="BA918" s="41"/>
      <c r="BH918" s="42"/>
      <c r="BO918" s="42"/>
      <c r="BP918" s="43"/>
      <c r="CB918" s="44"/>
      <c r="CC918" s="39"/>
      <c r="CD918" s="39"/>
      <c r="CE918" s="39"/>
      <c r="CF918" s="40"/>
      <c r="CG918" s="40"/>
      <c r="CH918" s="41"/>
      <c r="CI918" s="45"/>
      <c r="CJ918" s="45"/>
      <c r="CK918" s="45"/>
      <c r="CL918" s="45"/>
    </row>
    <row r="919" ht="15.75" customHeight="1">
      <c r="K919" s="38"/>
      <c r="R919" s="39"/>
      <c r="Y919" s="39"/>
      <c r="AF919" s="39"/>
      <c r="AM919" s="40"/>
      <c r="AT919" s="40"/>
      <c r="BA919" s="41"/>
      <c r="BH919" s="42"/>
      <c r="BO919" s="42"/>
      <c r="BP919" s="43"/>
      <c r="CB919" s="44"/>
      <c r="CC919" s="39"/>
      <c r="CD919" s="39"/>
      <c r="CE919" s="39"/>
      <c r="CF919" s="40"/>
      <c r="CG919" s="40"/>
      <c r="CH919" s="41"/>
      <c r="CI919" s="45"/>
      <c r="CJ919" s="45"/>
      <c r="CK919" s="45"/>
      <c r="CL919" s="45"/>
    </row>
    <row r="920" ht="15.75" customHeight="1">
      <c r="K920" s="38"/>
      <c r="R920" s="39"/>
      <c r="Y920" s="39"/>
      <c r="AF920" s="39"/>
      <c r="AM920" s="40"/>
      <c r="AT920" s="40"/>
      <c r="BA920" s="41"/>
      <c r="BH920" s="42"/>
      <c r="BO920" s="42"/>
      <c r="BP920" s="43"/>
      <c r="CB920" s="44"/>
      <c r="CC920" s="39"/>
      <c r="CD920" s="39"/>
      <c r="CE920" s="39"/>
      <c r="CF920" s="40"/>
      <c r="CG920" s="40"/>
      <c r="CH920" s="41"/>
      <c r="CI920" s="45"/>
      <c r="CJ920" s="45"/>
      <c r="CK920" s="45"/>
      <c r="CL920" s="45"/>
    </row>
    <row r="921" ht="15.75" customHeight="1">
      <c r="K921" s="38"/>
      <c r="R921" s="39"/>
      <c r="Y921" s="39"/>
      <c r="AF921" s="39"/>
      <c r="AM921" s="40"/>
      <c r="AT921" s="40"/>
      <c r="BA921" s="41"/>
      <c r="BH921" s="42"/>
      <c r="BO921" s="42"/>
      <c r="BP921" s="43"/>
      <c r="CB921" s="44"/>
      <c r="CC921" s="39"/>
      <c r="CD921" s="39"/>
      <c r="CE921" s="39"/>
      <c r="CF921" s="40"/>
      <c r="CG921" s="40"/>
      <c r="CH921" s="41"/>
      <c r="CI921" s="45"/>
      <c r="CJ921" s="45"/>
      <c r="CK921" s="45"/>
      <c r="CL921" s="45"/>
    </row>
    <row r="922" ht="15.75" customHeight="1">
      <c r="K922" s="38"/>
      <c r="R922" s="39"/>
      <c r="Y922" s="39"/>
      <c r="AF922" s="39"/>
      <c r="AM922" s="40"/>
      <c r="AT922" s="40"/>
      <c r="BA922" s="41"/>
      <c r="BH922" s="42"/>
      <c r="BO922" s="42"/>
      <c r="BP922" s="43"/>
      <c r="CB922" s="44"/>
      <c r="CC922" s="39"/>
      <c r="CD922" s="39"/>
      <c r="CE922" s="39"/>
      <c r="CF922" s="40"/>
      <c r="CG922" s="40"/>
      <c r="CH922" s="41"/>
      <c r="CI922" s="45"/>
      <c r="CJ922" s="45"/>
      <c r="CK922" s="45"/>
      <c r="CL922" s="45"/>
    </row>
    <row r="923" ht="15.75" customHeight="1">
      <c r="K923" s="38"/>
      <c r="R923" s="39"/>
      <c r="Y923" s="39"/>
      <c r="AF923" s="39"/>
      <c r="AM923" s="40"/>
      <c r="AT923" s="40"/>
      <c r="BA923" s="41"/>
      <c r="BH923" s="42"/>
      <c r="BO923" s="42"/>
      <c r="BP923" s="43"/>
      <c r="CB923" s="44"/>
      <c r="CC923" s="39"/>
      <c r="CD923" s="39"/>
      <c r="CE923" s="39"/>
      <c r="CF923" s="40"/>
      <c r="CG923" s="40"/>
      <c r="CH923" s="41"/>
      <c r="CI923" s="45"/>
      <c r="CJ923" s="45"/>
      <c r="CK923" s="45"/>
      <c r="CL923" s="45"/>
    </row>
    <row r="924" ht="15.75" customHeight="1">
      <c r="K924" s="38"/>
      <c r="R924" s="39"/>
      <c r="Y924" s="39"/>
      <c r="AF924" s="39"/>
      <c r="AM924" s="40"/>
      <c r="AT924" s="40"/>
      <c r="BA924" s="41"/>
      <c r="BH924" s="42"/>
      <c r="BO924" s="42"/>
      <c r="BP924" s="43"/>
      <c r="CB924" s="44"/>
      <c r="CC924" s="39"/>
      <c r="CD924" s="39"/>
      <c r="CE924" s="39"/>
      <c r="CF924" s="40"/>
      <c r="CG924" s="40"/>
      <c r="CH924" s="41"/>
      <c r="CI924" s="45"/>
      <c r="CJ924" s="45"/>
      <c r="CK924" s="45"/>
      <c r="CL924" s="45"/>
    </row>
    <row r="925" ht="15.75" customHeight="1">
      <c r="K925" s="38"/>
      <c r="R925" s="39"/>
      <c r="Y925" s="39"/>
      <c r="AF925" s="39"/>
      <c r="AM925" s="40"/>
      <c r="AT925" s="40"/>
      <c r="BA925" s="41"/>
      <c r="BH925" s="42"/>
      <c r="BO925" s="42"/>
      <c r="BP925" s="43"/>
      <c r="CB925" s="44"/>
      <c r="CC925" s="39"/>
      <c r="CD925" s="39"/>
      <c r="CE925" s="39"/>
      <c r="CF925" s="40"/>
      <c r="CG925" s="40"/>
      <c r="CH925" s="41"/>
      <c r="CI925" s="45"/>
      <c r="CJ925" s="45"/>
      <c r="CK925" s="45"/>
      <c r="CL925" s="45"/>
    </row>
    <row r="926" ht="15.75" customHeight="1">
      <c r="K926" s="38"/>
      <c r="R926" s="39"/>
      <c r="Y926" s="39"/>
      <c r="AF926" s="39"/>
      <c r="AM926" s="40"/>
      <c r="AT926" s="40"/>
      <c r="BA926" s="41"/>
      <c r="BH926" s="42"/>
      <c r="BO926" s="42"/>
      <c r="BP926" s="43"/>
      <c r="CB926" s="44"/>
      <c r="CC926" s="39"/>
      <c r="CD926" s="39"/>
      <c r="CE926" s="39"/>
      <c r="CF926" s="40"/>
      <c r="CG926" s="40"/>
      <c r="CH926" s="41"/>
      <c r="CI926" s="45"/>
      <c r="CJ926" s="45"/>
      <c r="CK926" s="45"/>
      <c r="CL926" s="45"/>
    </row>
    <row r="927" ht="15.75" customHeight="1">
      <c r="K927" s="38"/>
      <c r="R927" s="39"/>
      <c r="Y927" s="39"/>
      <c r="AF927" s="39"/>
      <c r="AM927" s="40"/>
      <c r="AT927" s="40"/>
      <c r="BA927" s="41"/>
      <c r="BH927" s="42"/>
      <c r="BO927" s="42"/>
      <c r="BP927" s="43"/>
      <c r="CB927" s="44"/>
      <c r="CC927" s="39"/>
      <c r="CD927" s="39"/>
      <c r="CE927" s="39"/>
      <c r="CF927" s="40"/>
      <c r="CG927" s="40"/>
      <c r="CH927" s="41"/>
      <c r="CI927" s="45"/>
      <c r="CJ927" s="45"/>
      <c r="CK927" s="45"/>
      <c r="CL927" s="45"/>
    </row>
    <row r="928" ht="15.75" customHeight="1">
      <c r="K928" s="38"/>
      <c r="R928" s="39"/>
      <c r="Y928" s="39"/>
      <c r="AF928" s="39"/>
      <c r="AM928" s="40"/>
      <c r="AT928" s="40"/>
      <c r="BA928" s="41"/>
      <c r="BH928" s="42"/>
      <c r="BO928" s="42"/>
      <c r="BP928" s="43"/>
      <c r="CB928" s="44"/>
      <c r="CC928" s="39"/>
      <c r="CD928" s="39"/>
      <c r="CE928" s="39"/>
      <c r="CF928" s="40"/>
      <c r="CG928" s="40"/>
      <c r="CH928" s="41"/>
      <c r="CI928" s="45"/>
      <c r="CJ928" s="45"/>
      <c r="CK928" s="45"/>
      <c r="CL928" s="45"/>
    </row>
    <row r="929" ht="15.75" customHeight="1">
      <c r="K929" s="38"/>
      <c r="R929" s="39"/>
      <c r="Y929" s="39"/>
      <c r="AF929" s="39"/>
      <c r="AM929" s="40"/>
      <c r="AT929" s="40"/>
      <c r="BA929" s="41"/>
      <c r="BH929" s="42"/>
      <c r="BO929" s="42"/>
      <c r="BP929" s="43"/>
      <c r="CB929" s="44"/>
      <c r="CC929" s="39"/>
      <c r="CD929" s="39"/>
      <c r="CE929" s="39"/>
      <c r="CF929" s="40"/>
      <c r="CG929" s="40"/>
      <c r="CH929" s="41"/>
      <c r="CI929" s="45"/>
      <c r="CJ929" s="45"/>
      <c r="CK929" s="45"/>
      <c r="CL929" s="45"/>
    </row>
    <row r="930" ht="15.75" customHeight="1">
      <c r="K930" s="38"/>
      <c r="R930" s="39"/>
      <c r="Y930" s="39"/>
      <c r="AF930" s="39"/>
      <c r="AM930" s="40"/>
      <c r="AT930" s="40"/>
      <c r="BA930" s="41"/>
      <c r="BH930" s="42"/>
      <c r="BO930" s="42"/>
      <c r="BP930" s="43"/>
      <c r="CB930" s="44"/>
      <c r="CC930" s="39"/>
      <c r="CD930" s="39"/>
      <c r="CE930" s="39"/>
      <c r="CF930" s="40"/>
      <c r="CG930" s="40"/>
      <c r="CH930" s="41"/>
      <c r="CI930" s="45"/>
      <c r="CJ930" s="45"/>
      <c r="CK930" s="45"/>
      <c r="CL930" s="45"/>
    </row>
    <row r="931" ht="15.75" customHeight="1">
      <c r="K931" s="38"/>
      <c r="R931" s="39"/>
      <c r="Y931" s="39"/>
      <c r="AF931" s="39"/>
      <c r="AM931" s="40"/>
      <c r="AT931" s="40"/>
      <c r="BA931" s="41"/>
      <c r="BH931" s="42"/>
      <c r="BO931" s="42"/>
      <c r="BP931" s="43"/>
      <c r="CB931" s="44"/>
      <c r="CC931" s="39"/>
      <c r="CD931" s="39"/>
      <c r="CE931" s="39"/>
      <c r="CF931" s="40"/>
      <c r="CG931" s="40"/>
      <c r="CH931" s="41"/>
      <c r="CI931" s="45"/>
      <c r="CJ931" s="45"/>
      <c r="CK931" s="45"/>
      <c r="CL931" s="45"/>
    </row>
    <row r="932" ht="15.75" customHeight="1">
      <c r="K932" s="38"/>
      <c r="R932" s="39"/>
      <c r="Y932" s="39"/>
      <c r="AF932" s="39"/>
      <c r="AM932" s="40"/>
      <c r="AT932" s="40"/>
      <c r="BA932" s="41"/>
      <c r="BH932" s="42"/>
      <c r="BO932" s="42"/>
      <c r="BP932" s="43"/>
      <c r="CB932" s="44"/>
      <c r="CC932" s="39"/>
      <c r="CD932" s="39"/>
      <c r="CE932" s="39"/>
      <c r="CF932" s="40"/>
      <c r="CG932" s="40"/>
      <c r="CH932" s="41"/>
      <c r="CI932" s="45"/>
      <c r="CJ932" s="45"/>
      <c r="CK932" s="45"/>
      <c r="CL932" s="45"/>
    </row>
    <row r="933" ht="15.75" customHeight="1">
      <c r="K933" s="38"/>
      <c r="R933" s="39"/>
      <c r="Y933" s="39"/>
      <c r="AF933" s="39"/>
      <c r="AM933" s="40"/>
      <c r="AT933" s="40"/>
      <c r="BA933" s="41"/>
      <c r="BH933" s="42"/>
      <c r="BO933" s="42"/>
      <c r="BP933" s="43"/>
      <c r="CB933" s="44"/>
      <c r="CC933" s="39"/>
      <c r="CD933" s="39"/>
      <c r="CE933" s="39"/>
      <c r="CF933" s="40"/>
      <c r="CG933" s="40"/>
      <c r="CH933" s="41"/>
      <c r="CI933" s="45"/>
      <c r="CJ933" s="45"/>
      <c r="CK933" s="45"/>
      <c r="CL933" s="45"/>
    </row>
    <row r="934" ht="15.75" customHeight="1">
      <c r="K934" s="38"/>
      <c r="R934" s="39"/>
      <c r="Y934" s="39"/>
      <c r="AF934" s="39"/>
      <c r="AM934" s="40"/>
      <c r="AT934" s="40"/>
      <c r="BA934" s="41"/>
      <c r="BH934" s="42"/>
      <c r="BO934" s="42"/>
      <c r="BP934" s="43"/>
      <c r="CB934" s="44"/>
      <c r="CC934" s="39"/>
      <c r="CD934" s="39"/>
      <c r="CE934" s="39"/>
      <c r="CF934" s="40"/>
      <c r="CG934" s="40"/>
      <c r="CH934" s="41"/>
      <c r="CI934" s="45"/>
      <c r="CJ934" s="45"/>
      <c r="CK934" s="45"/>
      <c r="CL934" s="45"/>
    </row>
    <row r="935" ht="15.75" customHeight="1">
      <c r="K935" s="38"/>
      <c r="R935" s="39"/>
      <c r="Y935" s="39"/>
      <c r="AF935" s="39"/>
      <c r="AM935" s="40"/>
      <c r="AT935" s="40"/>
      <c r="BA935" s="41"/>
      <c r="BH935" s="42"/>
      <c r="BO935" s="42"/>
      <c r="BP935" s="43"/>
      <c r="CB935" s="44"/>
      <c r="CC935" s="39"/>
      <c r="CD935" s="39"/>
      <c r="CE935" s="39"/>
      <c r="CF935" s="40"/>
      <c r="CG935" s="40"/>
      <c r="CH935" s="41"/>
      <c r="CI935" s="45"/>
      <c r="CJ935" s="45"/>
      <c r="CK935" s="45"/>
      <c r="CL935" s="45"/>
    </row>
    <row r="936" ht="15.75" customHeight="1">
      <c r="K936" s="38"/>
      <c r="R936" s="39"/>
      <c r="Y936" s="39"/>
      <c r="AF936" s="39"/>
      <c r="AM936" s="40"/>
      <c r="AT936" s="40"/>
      <c r="BA936" s="41"/>
      <c r="BH936" s="42"/>
      <c r="BO936" s="42"/>
      <c r="BP936" s="43"/>
      <c r="CB936" s="44"/>
      <c r="CC936" s="39"/>
      <c r="CD936" s="39"/>
      <c r="CE936" s="39"/>
      <c r="CF936" s="40"/>
      <c r="CG936" s="40"/>
      <c r="CH936" s="41"/>
      <c r="CI936" s="45"/>
      <c r="CJ936" s="45"/>
      <c r="CK936" s="45"/>
      <c r="CL936" s="45"/>
    </row>
    <row r="937" ht="15.75" customHeight="1">
      <c r="K937" s="38"/>
      <c r="R937" s="39"/>
      <c r="Y937" s="39"/>
      <c r="AF937" s="39"/>
      <c r="AM937" s="40"/>
      <c r="AT937" s="40"/>
      <c r="BA937" s="41"/>
      <c r="BH937" s="42"/>
      <c r="BO937" s="42"/>
      <c r="BP937" s="43"/>
      <c r="CB937" s="44"/>
      <c r="CC937" s="39"/>
      <c r="CD937" s="39"/>
      <c r="CE937" s="39"/>
      <c r="CF937" s="40"/>
      <c r="CG937" s="40"/>
      <c r="CH937" s="41"/>
      <c r="CI937" s="45"/>
      <c r="CJ937" s="45"/>
      <c r="CK937" s="45"/>
      <c r="CL937" s="45"/>
    </row>
    <row r="938" ht="15.75" customHeight="1">
      <c r="K938" s="38"/>
      <c r="R938" s="39"/>
      <c r="Y938" s="39"/>
      <c r="AF938" s="39"/>
      <c r="AM938" s="40"/>
      <c r="AT938" s="40"/>
      <c r="BA938" s="41"/>
      <c r="BH938" s="42"/>
      <c r="BO938" s="42"/>
      <c r="BP938" s="43"/>
      <c r="CB938" s="44"/>
      <c r="CC938" s="39"/>
      <c r="CD938" s="39"/>
      <c r="CE938" s="39"/>
      <c r="CF938" s="40"/>
      <c r="CG938" s="40"/>
      <c r="CH938" s="41"/>
      <c r="CI938" s="45"/>
      <c r="CJ938" s="45"/>
      <c r="CK938" s="45"/>
      <c r="CL938" s="45"/>
    </row>
    <row r="939" ht="15.75" customHeight="1">
      <c r="K939" s="38"/>
      <c r="R939" s="39"/>
      <c r="Y939" s="39"/>
      <c r="AF939" s="39"/>
      <c r="AM939" s="40"/>
      <c r="AT939" s="40"/>
      <c r="BA939" s="41"/>
      <c r="BH939" s="42"/>
      <c r="BO939" s="42"/>
      <c r="BP939" s="43"/>
      <c r="CB939" s="44"/>
      <c r="CC939" s="39"/>
      <c r="CD939" s="39"/>
      <c r="CE939" s="39"/>
      <c r="CF939" s="40"/>
      <c r="CG939" s="40"/>
      <c r="CH939" s="41"/>
      <c r="CI939" s="45"/>
      <c r="CJ939" s="45"/>
      <c r="CK939" s="45"/>
      <c r="CL939" s="45"/>
    </row>
    <row r="940" ht="15.75" customHeight="1">
      <c r="K940" s="38"/>
      <c r="R940" s="39"/>
      <c r="Y940" s="39"/>
      <c r="AF940" s="39"/>
      <c r="AM940" s="40"/>
      <c r="AT940" s="40"/>
      <c r="BA940" s="41"/>
      <c r="BH940" s="42"/>
      <c r="BO940" s="42"/>
      <c r="BP940" s="43"/>
      <c r="CB940" s="44"/>
      <c r="CC940" s="39"/>
      <c r="CD940" s="39"/>
      <c r="CE940" s="39"/>
      <c r="CF940" s="40"/>
      <c r="CG940" s="40"/>
      <c r="CH940" s="41"/>
      <c r="CI940" s="45"/>
      <c r="CJ940" s="45"/>
      <c r="CK940" s="45"/>
      <c r="CL940" s="45"/>
    </row>
    <row r="941" ht="15.75" customHeight="1">
      <c r="K941" s="38"/>
      <c r="R941" s="39"/>
      <c r="Y941" s="39"/>
      <c r="AF941" s="39"/>
      <c r="AM941" s="40"/>
      <c r="AT941" s="40"/>
      <c r="BA941" s="41"/>
      <c r="BH941" s="42"/>
      <c r="BO941" s="42"/>
      <c r="BP941" s="43"/>
      <c r="CB941" s="44"/>
      <c r="CC941" s="39"/>
      <c r="CD941" s="39"/>
      <c r="CE941" s="39"/>
      <c r="CF941" s="40"/>
      <c r="CG941" s="40"/>
      <c r="CH941" s="41"/>
      <c r="CI941" s="45"/>
      <c r="CJ941" s="45"/>
      <c r="CK941" s="45"/>
      <c r="CL941" s="45"/>
    </row>
    <row r="942" ht="15.75" customHeight="1">
      <c r="K942" s="38"/>
      <c r="R942" s="39"/>
      <c r="Y942" s="39"/>
      <c r="AF942" s="39"/>
      <c r="AM942" s="40"/>
      <c r="AT942" s="40"/>
      <c r="BA942" s="41"/>
      <c r="BH942" s="42"/>
      <c r="BO942" s="42"/>
      <c r="BP942" s="43"/>
      <c r="CB942" s="44"/>
      <c r="CC942" s="39"/>
      <c r="CD942" s="39"/>
      <c r="CE942" s="39"/>
      <c r="CF942" s="40"/>
      <c r="CG942" s="40"/>
      <c r="CH942" s="41"/>
      <c r="CI942" s="45"/>
      <c r="CJ942" s="45"/>
      <c r="CK942" s="45"/>
      <c r="CL942" s="45"/>
    </row>
    <row r="943" ht="15.75" customHeight="1">
      <c r="K943" s="38"/>
      <c r="R943" s="39"/>
      <c r="Y943" s="39"/>
      <c r="AF943" s="39"/>
      <c r="AM943" s="40"/>
      <c r="AT943" s="40"/>
      <c r="BA943" s="41"/>
      <c r="BH943" s="42"/>
      <c r="BO943" s="42"/>
      <c r="BP943" s="43"/>
      <c r="CB943" s="44"/>
      <c r="CC943" s="39"/>
      <c r="CD943" s="39"/>
      <c r="CE943" s="39"/>
      <c r="CF943" s="40"/>
      <c r="CG943" s="40"/>
      <c r="CH943" s="41"/>
      <c r="CI943" s="45"/>
      <c r="CJ943" s="45"/>
      <c r="CK943" s="45"/>
      <c r="CL943" s="45"/>
    </row>
    <row r="944" ht="15.75" customHeight="1">
      <c r="K944" s="38"/>
      <c r="R944" s="39"/>
      <c r="Y944" s="39"/>
      <c r="AF944" s="39"/>
      <c r="AM944" s="40"/>
      <c r="AT944" s="40"/>
      <c r="BA944" s="41"/>
      <c r="BH944" s="42"/>
      <c r="BO944" s="42"/>
      <c r="BP944" s="43"/>
      <c r="CB944" s="44"/>
      <c r="CC944" s="39"/>
      <c r="CD944" s="39"/>
      <c r="CE944" s="39"/>
      <c r="CF944" s="40"/>
      <c r="CG944" s="40"/>
      <c r="CH944" s="41"/>
      <c r="CI944" s="45"/>
      <c r="CJ944" s="45"/>
      <c r="CK944" s="45"/>
      <c r="CL944" s="45"/>
    </row>
    <row r="945" ht="15.75" customHeight="1">
      <c r="K945" s="38"/>
      <c r="R945" s="39"/>
      <c r="Y945" s="39"/>
      <c r="AF945" s="39"/>
      <c r="AM945" s="40"/>
      <c r="AT945" s="40"/>
      <c r="BA945" s="41"/>
      <c r="BH945" s="42"/>
      <c r="BO945" s="42"/>
      <c r="BP945" s="43"/>
      <c r="CB945" s="44"/>
      <c r="CC945" s="39"/>
      <c r="CD945" s="39"/>
      <c r="CE945" s="39"/>
      <c r="CF945" s="40"/>
      <c r="CG945" s="40"/>
      <c r="CH945" s="41"/>
      <c r="CI945" s="45"/>
      <c r="CJ945" s="45"/>
      <c r="CK945" s="45"/>
      <c r="CL945" s="45"/>
    </row>
    <row r="946" ht="15.75" customHeight="1">
      <c r="K946" s="38"/>
      <c r="R946" s="39"/>
      <c r="Y946" s="39"/>
      <c r="AF946" s="39"/>
      <c r="AM946" s="40"/>
      <c r="AT946" s="40"/>
      <c r="BA946" s="41"/>
      <c r="BH946" s="42"/>
      <c r="BO946" s="42"/>
      <c r="BP946" s="43"/>
      <c r="CB946" s="44"/>
      <c r="CC946" s="39"/>
      <c r="CD946" s="39"/>
      <c r="CE946" s="39"/>
      <c r="CF946" s="40"/>
      <c r="CG946" s="40"/>
      <c r="CH946" s="41"/>
      <c r="CI946" s="45"/>
      <c r="CJ946" s="45"/>
      <c r="CK946" s="45"/>
      <c r="CL946" s="45"/>
    </row>
    <row r="947" ht="15.75" customHeight="1">
      <c r="K947" s="38"/>
      <c r="R947" s="39"/>
      <c r="Y947" s="39"/>
      <c r="AF947" s="39"/>
      <c r="AM947" s="40"/>
      <c r="AT947" s="40"/>
      <c r="BA947" s="41"/>
      <c r="BH947" s="42"/>
      <c r="BO947" s="42"/>
      <c r="BP947" s="43"/>
      <c r="CB947" s="44"/>
      <c r="CC947" s="39"/>
      <c r="CD947" s="39"/>
      <c r="CE947" s="39"/>
      <c r="CF947" s="40"/>
      <c r="CG947" s="40"/>
      <c r="CH947" s="41"/>
      <c r="CI947" s="45"/>
      <c r="CJ947" s="45"/>
      <c r="CK947" s="45"/>
      <c r="CL947" s="45"/>
    </row>
    <row r="948" ht="15.75" customHeight="1">
      <c r="K948" s="38"/>
      <c r="R948" s="39"/>
      <c r="Y948" s="39"/>
      <c r="AF948" s="39"/>
      <c r="AM948" s="40"/>
      <c r="AT948" s="40"/>
      <c r="BA948" s="41"/>
      <c r="BH948" s="42"/>
      <c r="BO948" s="42"/>
      <c r="BP948" s="43"/>
      <c r="CB948" s="44"/>
      <c r="CC948" s="39"/>
      <c r="CD948" s="39"/>
      <c r="CE948" s="39"/>
      <c r="CF948" s="40"/>
      <c r="CG948" s="40"/>
      <c r="CH948" s="41"/>
      <c r="CI948" s="45"/>
      <c r="CJ948" s="45"/>
      <c r="CK948" s="45"/>
      <c r="CL948" s="45"/>
    </row>
    <row r="949" ht="15.75" customHeight="1">
      <c r="K949" s="38"/>
      <c r="R949" s="39"/>
      <c r="Y949" s="39"/>
      <c r="AF949" s="39"/>
      <c r="AM949" s="40"/>
      <c r="AT949" s="40"/>
      <c r="BA949" s="41"/>
      <c r="BH949" s="42"/>
      <c r="BO949" s="42"/>
      <c r="BP949" s="43"/>
      <c r="CB949" s="44"/>
      <c r="CC949" s="39"/>
      <c r="CD949" s="39"/>
      <c r="CE949" s="39"/>
      <c r="CF949" s="40"/>
      <c r="CG949" s="40"/>
      <c r="CH949" s="41"/>
      <c r="CI949" s="45"/>
      <c r="CJ949" s="45"/>
      <c r="CK949" s="45"/>
      <c r="CL949" s="45"/>
    </row>
    <row r="950" ht="15.75" customHeight="1">
      <c r="K950" s="38"/>
      <c r="R950" s="39"/>
      <c r="Y950" s="39"/>
      <c r="AF950" s="39"/>
      <c r="AM950" s="40"/>
      <c r="AT950" s="40"/>
      <c r="BA950" s="41"/>
      <c r="BH950" s="42"/>
      <c r="BO950" s="42"/>
      <c r="BP950" s="43"/>
      <c r="CB950" s="44"/>
      <c r="CC950" s="39"/>
      <c r="CD950" s="39"/>
      <c r="CE950" s="39"/>
      <c r="CF950" s="40"/>
      <c r="CG950" s="40"/>
      <c r="CH950" s="41"/>
      <c r="CI950" s="45"/>
      <c r="CJ950" s="45"/>
      <c r="CK950" s="45"/>
      <c r="CL950" s="45"/>
    </row>
    <row r="951" ht="15.75" customHeight="1">
      <c r="K951" s="38"/>
      <c r="R951" s="39"/>
      <c r="Y951" s="39"/>
      <c r="AF951" s="39"/>
      <c r="AM951" s="40"/>
      <c r="AT951" s="40"/>
      <c r="BA951" s="41"/>
      <c r="BH951" s="42"/>
      <c r="BO951" s="42"/>
      <c r="BP951" s="43"/>
      <c r="CB951" s="44"/>
      <c r="CC951" s="39"/>
      <c r="CD951" s="39"/>
      <c r="CE951" s="39"/>
      <c r="CF951" s="40"/>
      <c r="CG951" s="40"/>
      <c r="CH951" s="41"/>
      <c r="CI951" s="45"/>
      <c r="CJ951" s="45"/>
      <c r="CK951" s="45"/>
      <c r="CL951" s="45"/>
    </row>
    <row r="952" ht="15.75" customHeight="1">
      <c r="K952" s="38"/>
      <c r="R952" s="39"/>
      <c r="Y952" s="39"/>
      <c r="AF952" s="39"/>
      <c r="AM952" s="40"/>
      <c r="AT952" s="40"/>
      <c r="BA952" s="41"/>
      <c r="BH952" s="42"/>
      <c r="BO952" s="42"/>
      <c r="BP952" s="43"/>
      <c r="CB952" s="44"/>
      <c r="CC952" s="39"/>
      <c r="CD952" s="39"/>
      <c r="CE952" s="39"/>
      <c r="CF952" s="40"/>
      <c r="CG952" s="40"/>
      <c r="CH952" s="41"/>
      <c r="CI952" s="45"/>
      <c r="CJ952" s="45"/>
      <c r="CK952" s="45"/>
      <c r="CL952" s="45"/>
    </row>
    <row r="953" ht="15.75" customHeight="1">
      <c r="K953" s="38"/>
      <c r="R953" s="39"/>
      <c r="Y953" s="39"/>
      <c r="AF953" s="39"/>
      <c r="AM953" s="40"/>
      <c r="AT953" s="40"/>
      <c r="BA953" s="41"/>
      <c r="BH953" s="42"/>
      <c r="BO953" s="42"/>
      <c r="BP953" s="43"/>
      <c r="CB953" s="44"/>
      <c r="CC953" s="39"/>
      <c r="CD953" s="39"/>
      <c r="CE953" s="39"/>
      <c r="CF953" s="40"/>
      <c r="CG953" s="40"/>
      <c r="CH953" s="41"/>
      <c r="CI953" s="45"/>
      <c r="CJ953" s="45"/>
      <c r="CK953" s="45"/>
      <c r="CL953" s="45"/>
    </row>
    <row r="954" ht="15.75" customHeight="1">
      <c r="K954" s="38"/>
      <c r="R954" s="39"/>
      <c r="Y954" s="39"/>
      <c r="AF954" s="39"/>
      <c r="AM954" s="40"/>
      <c r="AT954" s="40"/>
      <c r="BA954" s="41"/>
      <c r="BH954" s="42"/>
      <c r="BO954" s="42"/>
      <c r="BP954" s="43"/>
      <c r="CB954" s="44"/>
      <c r="CC954" s="39"/>
      <c r="CD954" s="39"/>
      <c r="CE954" s="39"/>
      <c r="CF954" s="40"/>
      <c r="CG954" s="40"/>
      <c r="CH954" s="41"/>
      <c r="CI954" s="45"/>
      <c r="CJ954" s="45"/>
      <c r="CK954" s="45"/>
      <c r="CL954" s="45"/>
    </row>
    <row r="955" ht="15.75" customHeight="1">
      <c r="K955" s="38"/>
      <c r="R955" s="39"/>
      <c r="Y955" s="39"/>
      <c r="AF955" s="39"/>
      <c r="AM955" s="40"/>
      <c r="AT955" s="40"/>
      <c r="BA955" s="41"/>
      <c r="BH955" s="42"/>
      <c r="BO955" s="42"/>
      <c r="BP955" s="43"/>
      <c r="CB955" s="44"/>
      <c r="CC955" s="39"/>
      <c r="CD955" s="39"/>
      <c r="CE955" s="39"/>
      <c r="CF955" s="40"/>
      <c r="CG955" s="40"/>
      <c r="CH955" s="41"/>
      <c r="CI955" s="45"/>
      <c r="CJ955" s="45"/>
      <c r="CK955" s="45"/>
      <c r="CL955" s="45"/>
    </row>
    <row r="956" ht="15.75" customHeight="1">
      <c r="K956" s="38"/>
      <c r="R956" s="39"/>
      <c r="Y956" s="39"/>
      <c r="AF956" s="39"/>
      <c r="AM956" s="40"/>
      <c r="AT956" s="40"/>
      <c r="BA956" s="41"/>
      <c r="BH956" s="42"/>
      <c r="BO956" s="42"/>
      <c r="BP956" s="43"/>
      <c r="CB956" s="44"/>
      <c r="CC956" s="39"/>
      <c r="CD956" s="39"/>
      <c r="CE956" s="39"/>
      <c r="CF956" s="40"/>
      <c r="CG956" s="40"/>
      <c r="CH956" s="41"/>
      <c r="CI956" s="45"/>
      <c r="CJ956" s="45"/>
      <c r="CK956" s="45"/>
      <c r="CL956" s="45"/>
    </row>
    <row r="957" ht="15.75" customHeight="1">
      <c r="K957" s="38"/>
      <c r="R957" s="39"/>
      <c r="Y957" s="39"/>
      <c r="AF957" s="39"/>
      <c r="AM957" s="40"/>
      <c r="AT957" s="40"/>
      <c r="BA957" s="41"/>
      <c r="BH957" s="42"/>
      <c r="BO957" s="42"/>
      <c r="BP957" s="43"/>
      <c r="CB957" s="44"/>
      <c r="CC957" s="39"/>
      <c r="CD957" s="39"/>
      <c r="CE957" s="39"/>
      <c r="CF957" s="40"/>
      <c r="CG957" s="40"/>
      <c r="CH957" s="41"/>
      <c r="CI957" s="45"/>
      <c r="CJ957" s="45"/>
      <c r="CK957" s="45"/>
      <c r="CL957" s="45"/>
    </row>
    <row r="958" ht="15.75" customHeight="1">
      <c r="K958" s="38"/>
      <c r="R958" s="39"/>
      <c r="Y958" s="39"/>
      <c r="AF958" s="39"/>
      <c r="AM958" s="40"/>
      <c r="AT958" s="40"/>
      <c r="BA958" s="41"/>
      <c r="BH958" s="42"/>
      <c r="BO958" s="42"/>
      <c r="BP958" s="43"/>
      <c r="CB958" s="44"/>
      <c r="CC958" s="39"/>
      <c r="CD958" s="39"/>
      <c r="CE958" s="39"/>
      <c r="CF958" s="40"/>
      <c r="CG958" s="40"/>
      <c r="CH958" s="41"/>
      <c r="CI958" s="45"/>
      <c r="CJ958" s="45"/>
      <c r="CK958" s="45"/>
      <c r="CL958" s="45"/>
    </row>
    <row r="959" ht="15.75" customHeight="1">
      <c r="K959" s="38"/>
      <c r="R959" s="39"/>
      <c r="Y959" s="39"/>
      <c r="AF959" s="39"/>
      <c r="AM959" s="40"/>
      <c r="AT959" s="40"/>
      <c r="BA959" s="41"/>
      <c r="BH959" s="42"/>
      <c r="BO959" s="42"/>
      <c r="BP959" s="43"/>
      <c r="CB959" s="44"/>
      <c r="CC959" s="39"/>
      <c r="CD959" s="39"/>
      <c r="CE959" s="39"/>
      <c r="CF959" s="40"/>
      <c r="CG959" s="40"/>
      <c r="CH959" s="41"/>
      <c r="CI959" s="45"/>
      <c r="CJ959" s="45"/>
      <c r="CK959" s="45"/>
      <c r="CL959" s="45"/>
    </row>
    <row r="960" ht="15.75" customHeight="1">
      <c r="K960" s="38"/>
      <c r="R960" s="39"/>
      <c r="Y960" s="39"/>
      <c r="AF960" s="39"/>
      <c r="AM960" s="40"/>
      <c r="AT960" s="40"/>
      <c r="BA960" s="41"/>
      <c r="BH960" s="42"/>
      <c r="BO960" s="42"/>
      <c r="BP960" s="43"/>
      <c r="CB960" s="44"/>
      <c r="CC960" s="39"/>
      <c r="CD960" s="39"/>
      <c r="CE960" s="39"/>
      <c r="CF960" s="40"/>
      <c r="CG960" s="40"/>
      <c r="CH960" s="41"/>
      <c r="CI960" s="45"/>
      <c r="CJ960" s="45"/>
      <c r="CK960" s="45"/>
      <c r="CL960" s="45"/>
    </row>
    <row r="961" ht="15.75" customHeight="1">
      <c r="K961" s="38"/>
      <c r="R961" s="39"/>
      <c r="Y961" s="39"/>
      <c r="AF961" s="39"/>
      <c r="AM961" s="40"/>
      <c r="AT961" s="40"/>
      <c r="BA961" s="41"/>
      <c r="BH961" s="42"/>
      <c r="BO961" s="42"/>
      <c r="BP961" s="43"/>
      <c r="CB961" s="44"/>
      <c r="CC961" s="39"/>
      <c r="CD961" s="39"/>
      <c r="CE961" s="39"/>
      <c r="CF961" s="40"/>
      <c r="CG961" s="40"/>
      <c r="CH961" s="41"/>
      <c r="CI961" s="45"/>
      <c r="CJ961" s="45"/>
      <c r="CK961" s="45"/>
      <c r="CL961" s="45"/>
    </row>
    <row r="962" ht="15.75" customHeight="1">
      <c r="K962" s="38"/>
      <c r="R962" s="39"/>
      <c r="Y962" s="39"/>
      <c r="AF962" s="39"/>
      <c r="AM962" s="40"/>
      <c r="AT962" s="40"/>
      <c r="BA962" s="41"/>
      <c r="BH962" s="42"/>
      <c r="BO962" s="42"/>
      <c r="BP962" s="43"/>
      <c r="CB962" s="44"/>
      <c r="CC962" s="39"/>
      <c r="CD962" s="39"/>
      <c r="CE962" s="39"/>
      <c r="CF962" s="40"/>
      <c r="CG962" s="40"/>
      <c r="CH962" s="41"/>
      <c r="CI962" s="45"/>
      <c r="CJ962" s="45"/>
      <c r="CK962" s="45"/>
      <c r="CL962" s="45"/>
    </row>
    <row r="963" ht="15.75" customHeight="1">
      <c r="K963" s="38"/>
      <c r="R963" s="39"/>
      <c r="Y963" s="39"/>
      <c r="AF963" s="39"/>
      <c r="AM963" s="40"/>
      <c r="AT963" s="40"/>
      <c r="BA963" s="41"/>
      <c r="BH963" s="42"/>
      <c r="BO963" s="42"/>
      <c r="BP963" s="43"/>
      <c r="CB963" s="44"/>
      <c r="CC963" s="39"/>
      <c r="CD963" s="39"/>
      <c r="CE963" s="39"/>
      <c r="CF963" s="40"/>
      <c r="CG963" s="40"/>
      <c r="CH963" s="41"/>
      <c r="CI963" s="45"/>
      <c r="CJ963" s="45"/>
      <c r="CK963" s="45"/>
      <c r="CL963" s="45"/>
    </row>
    <row r="964" ht="15.75" customHeight="1">
      <c r="K964" s="38"/>
      <c r="R964" s="39"/>
      <c r="Y964" s="39"/>
      <c r="AF964" s="39"/>
      <c r="AM964" s="40"/>
      <c r="AT964" s="40"/>
      <c r="BA964" s="41"/>
      <c r="BH964" s="42"/>
      <c r="BO964" s="42"/>
      <c r="BP964" s="43"/>
      <c r="CB964" s="44"/>
      <c r="CC964" s="39"/>
      <c r="CD964" s="39"/>
      <c r="CE964" s="39"/>
      <c r="CF964" s="40"/>
      <c r="CG964" s="40"/>
      <c r="CH964" s="41"/>
      <c r="CI964" s="45"/>
      <c r="CJ964" s="45"/>
      <c r="CK964" s="45"/>
      <c r="CL964" s="45"/>
    </row>
    <row r="965" ht="15.75" customHeight="1">
      <c r="K965" s="38"/>
      <c r="R965" s="39"/>
      <c r="Y965" s="39"/>
      <c r="AF965" s="39"/>
      <c r="AM965" s="40"/>
      <c r="AT965" s="40"/>
      <c r="BA965" s="41"/>
      <c r="BH965" s="42"/>
      <c r="BO965" s="42"/>
      <c r="BP965" s="43"/>
      <c r="CB965" s="44"/>
      <c r="CC965" s="39"/>
      <c r="CD965" s="39"/>
      <c r="CE965" s="39"/>
      <c r="CF965" s="40"/>
      <c r="CG965" s="40"/>
      <c r="CH965" s="41"/>
      <c r="CI965" s="45"/>
      <c r="CJ965" s="45"/>
      <c r="CK965" s="45"/>
      <c r="CL965" s="45"/>
    </row>
    <row r="966" ht="15.75" customHeight="1">
      <c r="K966" s="38"/>
      <c r="R966" s="39"/>
      <c r="Y966" s="39"/>
      <c r="AF966" s="39"/>
      <c r="AM966" s="40"/>
      <c r="AT966" s="40"/>
      <c r="BA966" s="41"/>
      <c r="BH966" s="42"/>
      <c r="BO966" s="42"/>
      <c r="BP966" s="43"/>
      <c r="CB966" s="44"/>
      <c r="CC966" s="39"/>
      <c r="CD966" s="39"/>
      <c r="CE966" s="39"/>
      <c r="CF966" s="40"/>
      <c r="CG966" s="40"/>
      <c r="CH966" s="41"/>
      <c r="CI966" s="45"/>
      <c r="CJ966" s="45"/>
      <c r="CK966" s="45"/>
      <c r="CL966" s="45"/>
    </row>
    <row r="967" ht="15.75" customHeight="1">
      <c r="K967" s="38"/>
      <c r="R967" s="39"/>
      <c r="Y967" s="39"/>
      <c r="AF967" s="39"/>
      <c r="AM967" s="40"/>
      <c r="AT967" s="40"/>
      <c r="BA967" s="41"/>
      <c r="BH967" s="42"/>
      <c r="BO967" s="42"/>
      <c r="BP967" s="43"/>
      <c r="CB967" s="44"/>
      <c r="CC967" s="39"/>
      <c r="CD967" s="39"/>
      <c r="CE967" s="39"/>
      <c r="CF967" s="40"/>
      <c r="CG967" s="40"/>
      <c r="CH967" s="41"/>
      <c r="CI967" s="45"/>
      <c r="CJ967" s="45"/>
      <c r="CK967" s="45"/>
      <c r="CL967" s="45"/>
    </row>
    <row r="968" ht="15.75" customHeight="1">
      <c r="K968" s="38"/>
      <c r="R968" s="39"/>
      <c r="Y968" s="39"/>
      <c r="AF968" s="39"/>
      <c r="AM968" s="40"/>
      <c r="AT968" s="40"/>
      <c r="BA968" s="41"/>
      <c r="BH968" s="42"/>
      <c r="BO968" s="42"/>
      <c r="BP968" s="43"/>
      <c r="CB968" s="44"/>
      <c r="CC968" s="39"/>
      <c r="CD968" s="39"/>
      <c r="CE968" s="39"/>
      <c r="CF968" s="40"/>
      <c r="CG968" s="40"/>
      <c r="CH968" s="41"/>
      <c r="CI968" s="45"/>
      <c r="CJ968" s="45"/>
      <c r="CK968" s="45"/>
      <c r="CL968" s="45"/>
    </row>
    <row r="969" ht="15.75" customHeight="1">
      <c r="K969" s="38"/>
      <c r="R969" s="39"/>
      <c r="Y969" s="39"/>
      <c r="AF969" s="39"/>
      <c r="AM969" s="40"/>
      <c r="AT969" s="40"/>
      <c r="BA969" s="41"/>
      <c r="BH969" s="42"/>
      <c r="BO969" s="42"/>
      <c r="BP969" s="43"/>
      <c r="CB969" s="44"/>
      <c r="CC969" s="39"/>
      <c r="CD969" s="39"/>
      <c r="CE969" s="39"/>
      <c r="CF969" s="40"/>
      <c r="CG969" s="40"/>
      <c r="CH969" s="41"/>
      <c r="CI969" s="45"/>
      <c r="CJ969" s="45"/>
      <c r="CK969" s="45"/>
      <c r="CL969" s="45"/>
    </row>
    <row r="970" ht="15.75" customHeight="1">
      <c r="K970" s="38"/>
      <c r="R970" s="39"/>
      <c r="Y970" s="39"/>
      <c r="AF970" s="39"/>
      <c r="AM970" s="40"/>
      <c r="AT970" s="40"/>
      <c r="BA970" s="41"/>
      <c r="BH970" s="42"/>
      <c r="BO970" s="42"/>
      <c r="BP970" s="43"/>
      <c r="CB970" s="44"/>
      <c r="CC970" s="39"/>
      <c r="CD970" s="39"/>
      <c r="CE970" s="39"/>
      <c r="CF970" s="40"/>
      <c r="CG970" s="40"/>
      <c r="CH970" s="41"/>
      <c r="CI970" s="45"/>
      <c r="CJ970" s="45"/>
      <c r="CK970" s="45"/>
      <c r="CL970" s="45"/>
    </row>
    <row r="971" ht="15.75" customHeight="1">
      <c r="K971" s="38"/>
      <c r="R971" s="39"/>
      <c r="Y971" s="39"/>
      <c r="AF971" s="39"/>
      <c r="AM971" s="40"/>
      <c r="AT971" s="40"/>
      <c r="BA971" s="41"/>
      <c r="BH971" s="42"/>
      <c r="BO971" s="42"/>
      <c r="BP971" s="43"/>
      <c r="CB971" s="44"/>
      <c r="CC971" s="39"/>
      <c r="CD971" s="39"/>
      <c r="CE971" s="39"/>
      <c r="CF971" s="40"/>
      <c r="CG971" s="40"/>
      <c r="CH971" s="41"/>
      <c r="CI971" s="45"/>
      <c r="CJ971" s="45"/>
      <c r="CK971" s="45"/>
      <c r="CL971" s="45"/>
    </row>
    <row r="972" ht="15.75" customHeight="1">
      <c r="K972" s="38"/>
      <c r="R972" s="39"/>
      <c r="Y972" s="39"/>
      <c r="AF972" s="39"/>
      <c r="AM972" s="40"/>
      <c r="AT972" s="40"/>
      <c r="BA972" s="41"/>
      <c r="BH972" s="42"/>
      <c r="BO972" s="42"/>
      <c r="BP972" s="43"/>
      <c r="CB972" s="44"/>
      <c r="CC972" s="39"/>
      <c r="CD972" s="39"/>
      <c r="CE972" s="39"/>
      <c r="CF972" s="40"/>
      <c r="CG972" s="40"/>
      <c r="CH972" s="41"/>
      <c r="CI972" s="45"/>
      <c r="CJ972" s="45"/>
      <c r="CK972" s="45"/>
      <c r="CL972" s="45"/>
    </row>
    <row r="973" ht="15.75" customHeight="1">
      <c r="K973" s="38"/>
      <c r="R973" s="39"/>
      <c r="Y973" s="39"/>
      <c r="AF973" s="39"/>
      <c r="AM973" s="40"/>
      <c r="AT973" s="40"/>
      <c r="BA973" s="41"/>
      <c r="BH973" s="42"/>
      <c r="BO973" s="42"/>
      <c r="BP973" s="43"/>
      <c r="CB973" s="44"/>
      <c r="CC973" s="39"/>
      <c r="CD973" s="39"/>
      <c r="CE973" s="39"/>
      <c r="CF973" s="40"/>
      <c r="CG973" s="40"/>
      <c r="CH973" s="41"/>
      <c r="CI973" s="45"/>
      <c r="CJ973" s="45"/>
      <c r="CK973" s="45"/>
      <c r="CL973" s="45"/>
    </row>
    <row r="974" ht="15.75" customHeight="1">
      <c r="K974" s="38"/>
      <c r="R974" s="39"/>
      <c r="Y974" s="39"/>
      <c r="AF974" s="39"/>
      <c r="AM974" s="40"/>
      <c r="AT974" s="40"/>
      <c r="BA974" s="41"/>
      <c r="BH974" s="42"/>
      <c r="BO974" s="42"/>
      <c r="BP974" s="43"/>
      <c r="CB974" s="44"/>
      <c r="CC974" s="39"/>
      <c r="CD974" s="39"/>
      <c r="CE974" s="39"/>
      <c r="CF974" s="40"/>
      <c r="CG974" s="40"/>
      <c r="CH974" s="41"/>
      <c r="CI974" s="45"/>
      <c r="CJ974" s="45"/>
      <c r="CK974" s="45"/>
      <c r="CL974" s="45"/>
    </row>
    <row r="975" ht="15.75" customHeight="1">
      <c r="K975" s="38"/>
      <c r="R975" s="39"/>
      <c r="Y975" s="39"/>
      <c r="AF975" s="39"/>
      <c r="AM975" s="40"/>
      <c r="AT975" s="40"/>
      <c r="BA975" s="41"/>
      <c r="BH975" s="42"/>
      <c r="BO975" s="42"/>
      <c r="BP975" s="43"/>
      <c r="CB975" s="44"/>
      <c r="CC975" s="39"/>
      <c r="CD975" s="39"/>
      <c r="CE975" s="39"/>
      <c r="CF975" s="40"/>
      <c r="CG975" s="40"/>
      <c r="CH975" s="41"/>
      <c r="CI975" s="45"/>
      <c r="CJ975" s="45"/>
      <c r="CK975" s="45"/>
      <c r="CL975" s="45"/>
    </row>
    <row r="976" ht="15.75" customHeight="1">
      <c r="K976" s="38"/>
      <c r="R976" s="39"/>
      <c r="Y976" s="39"/>
      <c r="AF976" s="39"/>
      <c r="AM976" s="40"/>
      <c r="AT976" s="40"/>
      <c r="BA976" s="41"/>
      <c r="BH976" s="42"/>
      <c r="BO976" s="42"/>
      <c r="BP976" s="43"/>
      <c r="CB976" s="44"/>
      <c r="CC976" s="39"/>
      <c r="CD976" s="39"/>
      <c r="CE976" s="39"/>
      <c r="CF976" s="40"/>
      <c r="CG976" s="40"/>
      <c r="CH976" s="41"/>
      <c r="CI976" s="45"/>
      <c r="CJ976" s="45"/>
      <c r="CK976" s="45"/>
      <c r="CL976" s="45"/>
    </row>
    <row r="977" ht="15.75" customHeight="1">
      <c r="K977" s="38"/>
      <c r="R977" s="39"/>
      <c r="Y977" s="39"/>
      <c r="AF977" s="39"/>
      <c r="AM977" s="40"/>
      <c r="AT977" s="40"/>
      <c r="BA977" s="41"/>
      <c r="BH977" s="42"/>
      <c r="BO977" s="42"/>
      <c r="BP977" s="43"/>
      <c r="CB977" s="44"/>
      <c r="CC977" s="39"/>
      <c r="CD977" s="39"/>
      <c r="CE977" s="39"/>
      <c r="CF977" s="40"/>
      <c r="CG977" s="40"/>
      <c r="CH977" s="41"/>
      <c r="CI977" s="45"/>
      <c r="CJ977" s="45"/>
      <c r="CK977" s="45"/>
      <c r="CL977" s="45"/>
    </row>
    <row r="978" ht="15.75" customHeight="1">
      <c r="K978" s="38"/>
      <c r="R978" s="39"/>
      <c r="Y978" s="39"/>
      <c r="AF978" s="39"/>
      <c r="AM978" s="40"/>
      <c r="AT978" s="40"/>
      <c r="BA978" s="41"/>
      <c r="BH978" s="42"/>
      <c r="BO978" s="42"/>
      <c r="BP978" s="43"/>
      <c r="CB978" s="44"/>
      <c r="CC978" s="39"/>
      <c r="CD978" s="39"/>
      <c r="CE978" s="39"/>
      <c r="CF978" s="40"/>
      <c r="CG978" s="40"/>
      <c r="CH978" s="41"/>
      <c r="CI978" s="45"/>
      <c r="CJ978" s="45"/>
      <c r="CK978" s="45"/>
      <c r="CL978" s="45"/>
    </row>
    <row r="979" ht="15.75" customHeight="1">
      <c r="K979" s="38"/>
      <c r="R979" s="39"/>
      <c r="Y979" s="39"/>
      <c r="AF979" s="39"/>
      <c r="AM979" s="40"/>
      <c r="AT979" s="40"/>
      <c r="BA979" s="41"/>
      <c r="BH979" s="42"/>
      <c r="BO979" s="42"/>
      <c r="BP979" s="43"/>
      <c r="CB979" s="44"/>
      <c r="CC979" s="39"/>
      <c r="CD979" s="39"/>
      <c r="CE979" s="39"/>
      <c r="CF979" s="40"/>
      <c r="CG979" s="40"/>
      <c r="CH979" s="41"/>
      <c r="CI979" s="45"/>
      <c r="CJ979" s="45"/>
      <c r="CK979" s="45"/>
      <c r="CL979" s="45"/>
    </row>
    <row r="980" ht="15.75" customHeight="1">
      <c r="K980" s="38"/>
      <c r="R980" s="39"/>
      <c r="Y980" s="39"/>
      <c r="AF980" s="39"/>
      <c r="AM980" s="40"/>
      <c r="AT980" s="40"/>
      <c r="BA980" s="41"/>
      <c r="BH980" s="42"/>
      <c r="BO980" s="42"/>
      <c r="BP980" s="43"/>
      <c r="CB980" s="44"/>
      <c r="CC980" s="39"/>
      <c r="CD980" s="39"/>
      <c r="CE980" s="39"/>
      <c r="CF980" s="40"/>
      <c r="CG980" s="40"/>
      <c r="CH980" s="41"/>
      <c r="CI980" s="45"/>
      <c r="CJ980" s="45"/>
      <c r="CK980" s="45"/>
      <c r="CL980" s="45"/>
    </row>
    <row r="981" ht="15.75" customHeight="1">
      <c r="K981" s="38"/>
      <c r="R981" s="39"/>
      <c r="Y981" s="39"/>
      <c r="AF981" s="39"/>
      <c r="AM981" s="40"/>
      <c r="AT981" s="40"/>
      <c r="BA981" s="41"/>
      <c r="BH981" s="42"/>
      <c r="BO981" s="42"/>
      <c r="BP981" s="43"/>
      <c r="CB981" s="44"/>
      <c r="CC981" s="39"/>
      <c r="CD981" s="39"/>
      <c r="CE981" s="39"/>
      <c r="CF981" s="40"/>
      <c r="CG981" s="40"/>
      <c r="CH981" s="41"/>
      <c r="CI981" s="45"/>
      <c r="CJ981" s="45"/>
      <c r="CK981" s="45"/>
      <c r="CL981" s="45"/>
    </row>
    <row r="982" ht="15.75" customHeight="1">
      <c r="K982" s="38"/>
      <c r="R982" s="39"/>
      <c r="Y982" s="39"/>
      <c r="AF982" s="39"/>
      <c r="AM982" s="40"/>
      <c r="AT982" s="40"/>
      <c r="BA982" s="41"/>
      <c r="BH982" s="42"/>
      <c r="BO982" s="42"/>
      <c r="BP982" s="43"/>
      <c r="CB982" s="44"/>
      <c r="CC982" s="39"/>
      <c r="CD982" s="39"/>
      <c r="CE982" s="39"/>
      <c r="CF982" s="40"/>
      <c r="CG982" s="40"/>
      <c r="CH982" s="41"/>
      <c r="CI982" s="45"/>
      <c r="CJ982" s="45"/>
      <c r="CK982" s="45"/>
      <c r="CL982" s="45"/>
    </row>
    <row r="983" ht="15.75" customHeight="1">
      <c r="K983" s="38"/>
      <c r="R983" s="39"/>
      <c r="Y983" s="39"/>
      <c r="AF983" s="39"/>
      <c r="AM983" s="40"/>
      <c r="AT983" s="40"/>
      <c r="BA983" s="41"/>
      <c r="BH983" s="42"/>
      <c r="BO983" s="42"/>
      <c r="BP983" s="43"/>
      <c r="CB983" s="44"/>
      <c r="CC983" s="39"/>
      <c r="CD983" s="39"/>
      <c r="CE983" s="39"/>
      <c r="CF983" s="40"/>
      <c r="CG983" s="40"/>
      <c r="CH983" s="41"/>
      <c r="CI983" s="45"/>
      <c r="CJ983" s="45"/>
      <c r="CK983" s="45"/>
      <c r="CL983" s="45"/>
    </row>
    <row r="984" ht="15.75" customHeight="1">
      <c r="K984" s="38"/>
      <c r="R984" s="39"/>
      <c r="Y984" s="39"/>
      <c r="AF984" s="39"/>
      <c r="AM984" s="40"/>
      <c r="AT984" s="40"/>
      <c r="BA984" s="41"/>
      <c r="BH984" s="42"/>
      <c r="BO984" s="42"/>
      <c r="BP984" s="43"/>
      <c r="CB984" s="44"/>
      <c r="CC984" s="39"/>
      <c r="CD984" s="39"/>
      <c r="CE984" s="39"/>
      <c r="CF984" s="40"/>
      <c r="CG984" s="40"/>
      <c r="CH984" s="41"/>
      <c r="CI984" s="45"/>
      <c r="CJ984" s="45"/>
      <c r="CK984" s="45"/>
      <c r="CL984" s="45"/>
    </row>
    <row r="985" ht="15.75" customHeight="1">
      <c r="K985" s="38"/>
      <c r="R985" s="39"/>
      <c r="Y985" s="39"/>
      <c r="AF985" s="39"/>
      <c r="AM985" s="40"/>
      <c r="AT985" s="40"/>
      <c r="BA985" s="41"/>
      <c r="BH985" s="42"/>
      <c r="BO985" s="42"/>
      <c r="BP985" s="43"/>
      <c r="CB985" s="44"/>
      <c r="CC985" s="39"/>
      <c r="CD985" s="39"/>
      <c r="CE985" s="39"/>
      <c r="CF985" s="40"/>
      <c r="CG985" s="40"/>
      <c r="CH985" s="41"/>
      <c r="CI985" s="45"/>
      <c r="CJ985" s="45"/>
      <c r="CK985" s="45"/>
      <c r="CL985" s="45"/>
    </row>
    <row r="986" ht="15.75" customHeight="1">
      <c r="K986" s="38"/>
      <c r="R986" s="39"/>
      <c r="Y986" s="39"/>
      <c r="AF986" s="39"/>
      <c r="AM986" s="40"/>
      <c r="AT986" s="40"/>
      <c r="BA986" s="41"/>
      <c r="BH986" s="42"/>
      <c r="BO986" s="42"/>
      <c r="BP986" s="43"/>
      <c r="CB986" s="44"/>
      <c r="CC986" s="39"/>
      <c r="CD986" s="39"/>
      <c r="CE986" s="39"/>
      <c r="CF986" s="40"/>
      <c r="CG986" s="40"/>
      <c r="CH986" s="41"/>
      <c r="CI986" s="45"/>
      <c r="CJ986" s="45"/>
      <c r="CK986" s="45"/>
      <c r="CL986" s="45"/>
    </row>
    <row r="987" ht="15.75" customHeight="1">
      <c r="K987" s="38"/>
      <c r="R987" s="39"/>
      <c r="Y987" s="39"/>
      <c r="AF987" s="39"/>
      <c r="AM987" s="40"/>
      <c r="AT987" s="40"/>
      <c r="BA987" s="41"/>
      <c r="BH987" s="42"/>
      <c r="BO987" s="42"/>
      <c r="BP987" s="43"/>
      <c r="CB987" s="44"/>
      <c r="CC987" s="39"/>
      <c r="CD987" s="39"/>
      <c r="CE987" s="39"/>
      <c r="CF987" s="40"/>
      <c r="CG987" s="40"/>
      <c r="CH987" s="41"/>
      <c r="CI987" s="45"/>
      <c r="CJ987" s="45"/>
      <c r="CK987" s="45"/>
      <c r="CL987" s="45"/>
    </row>
    <row r="988" ht="15.75" customHeight="1">
      <c r="K988" s="38"/>
      <c r="R988" s="39"/>
      <c r="Y988" s="39"/>
      <c r="AF988" s="39"/>
      <c r="AM988" s="40"/>
      <c r="AT988" s="40"/>
      <c r="BA988" s="41"/>
      <c r="BH988" s="42"/>
      <c r="BO988" s="42"/>
      <c r="BP988" s="43"/>
      <c r="CB988" s="44"/>
      <c r="CC988" s="39"/>
      <c r="CD988" s="39"/>
      <c r="CE988" s="39"/>
      <c r="CF988" s="40"/>
      <c r="CG988" s="40"/>
      <c r="CH988" s="41"/>
      <c r="CI988" s="45"/>
      <c r="CJ988" s="45"/>
      <c r="CK988" s="45"/>
      <c r="CL988" s="45"/>
    </row>
    <row r="989" ht="15.75" customHeight="1">
      <c r="K989" s="38"/>
      <c r="R989" s="39"/>
      <c r="Y989" s="39"/>
      <c r="AF989" s="39"/>
      <c r="AM989" s="40"/>
      <c r="AT989" s="40"/>
      <c r="BA989" s="41"/>
      <c r="BH989" s="42"/>
      <c r="BO989" s="42"/>
      <c r="BP989" s="43"/>
      <c r="CB989" s="44"/>
      <c r="CC989" s="39"/>
      <c r="CD989" s="39"/>
      <c r="CE989" s="39"/>
      <c r="CF989" s="40"/>
      <c r="CG989" s="40"/>
      <c r="CH989" s="41"/>
      <c r="CI989" s="45"/>
      <c r="CJ989" s="45"/>
      <c r="CK989" s="45"/>
      <c r="CL989" s="45"/>
    </row>
    <row r="990" ht="15.75" customHeight="1">
      <c r="K990" s="38"/>
      <c r="R990" s="39"/>
      <c r="Y990" s="39"/>
      <c r="AF990" s="39"/>
      <c r="AM990" s="40"/>
      <c r="AT990" s="40"/>
      <c r="BA990" s="41"/>
      <c r="BH990" s="42"/>
      <c r="BO990" s="42"/>
      <c r="BP990" s="43"/>
      <c r="CB990" s="44"/>
      <c r="CC990" s="39"/>
      <c r="CD990" s="39"/>
      <c r="CE990" s="39"/>
      <c r="CF990" s="40"/>
      <c r="CG990" s="40"/>
      <c r="CH990" s="41"/>
      <c r="CI990" s="45"/>
      <c r="CJ990" s="45"/>
      <c r="CK990" s="45"/>
      <c r="CL990" s="45"/>
    </row>
    <row r="991" ht="15.75" customHeight="1">
      <c r="K991" s="38"/>
      <c r="R991" s="39"/>
      <c r="Y991" s="39"/>
      <c r="AF991" s="39"/>
      <c r="AM991" s="40"/>
      <c r="AT991" s="40"/>
      <c r="BA991" s="41"/>
      <c r="BH991" s="42"/>
      <c r="BO991" s="42"/>
      <c r="BP991" s="43"/>
      <c r="CB991" s="44"/>
      <c r="CC991" s="39"/>
      <c r="CD991" s="39"/>
      <c r="CE991" s="39"/>
      <c r="CF991" s="40"/>
      <c r="CG991" s="40"/>
      <c r="CH991" s="41"/>
      <c r="CI991" s="45"/>
      <c r="CJ991" s="45"/>
      <c r="CK991" s="45"/>
      <c r="CL991" s="45"/>
    </row>
    <row r="992" ht="15.75" customHeight="1">
      <c r="K992" s="38"/>
      <c r="R992" s="39"/>
      <c r="Y992" s="39"/>
      <c r="AF992" s="39"/>
      <c r="AM992" s="40"/>
      <c r="AT992" s="40"/>
      <c r="BA992" s="41"/>
      <c r="BH992" s="42"/>
      <c r="BO992" s="42"/>
      <c r="BP992" s="43"/>
      <c r="CB992" s="44"/>
      <c r="CC992" s="39"/>
      <c r="CD992" s="39"/>
      <c r="CE992" s="39"/>
      <c r="CF992" s="40"/>
      <c r="CG992" s="40"/>
      <c r="CH992" s="41"/>
      <c r="CI992" s="45"/>
      <c r="CJ992" s="45"/>
      <c r="CK992" s="45"/>
      <c r="CL992" s="45"/>
    </row>
    <row r="993" ht="15.75" customHeight="1">
      <c r="K993" s="38"/>
      <c r="R993" s="39"/>
      <c r="Y993" s="39"/>
      <c r="AF993" s="39"/>
      <c r="AM993" s="40"/>
      <c r="AT993" s="40"/>
      <c r="BA993" s="41"/>
      <c r="BH993" s="42"/>
      <c r="BO993" s="42"/>
      <c r="BP993" s="43"/>
      <c r="CB993" s="44"/>
      <c r="CC993" s="39"/>
      <c r="CD993" s="39"/>
      <c r="CE993" s="39"/>
      <c r="CF993" s="40"/>
      <c r="CG993" s="40"/>
      <c r="CH993" s="41"/>
      <c r="CI993" s="45"/>
      <c r="CJ993" s="45"/>
      <c r="CK993" s="45"/>
      <c r="CL993" s="45"/>
    </row>
    <row r="994" ht="15.75" customHeight="1">
      <c r="K994" s="38"/>
      <c r="R994" s="39"/>
      <c r="Y994" s="39"/>
      <c r="AF994" s="39"/>
      <c r="AM994" s="40"/>
      <c r="AT994" s="40"/>
      <c r="BA994" s="41"/>
      <c r="BH994" s="42"/>
      <c r="BO994" s="42"/>
      <c r="BP994" s="43"/>
      <c r="CB994" s="44"/>
      <c r="CC994" s="39"/>
      <c r="CD994" s="39"/>
      <c r="CE994" s="39"/>
      <c r="CF994" s="40"/>
      <c r="CG994" s="40"/>
      <c r="CH994" s="41"/>
      <c r="CI994" s="45"/>
      <c r="CJ994" s="45"/>
      <c r="CK994" s="45"/>
      <c r="CL994" s="45"/>
    </row>
    <row r="995" ht="15.75" customHeight="1">
      <c r="K995" s="38"/>
      <c r="R995" s="39"/>
      <c r="Y995" s="39"/>
      <c r="AF995" s="39"/>
      <c r="AM995" s="40"/>
      <c r="AT995" s="40"/>
      <c r="BA995" s="41"/>
      <c r="BH995" s="42"/>
      <c r="BO995" s="42"/>
      <c r="BP995" s="43"/>
      <c r="CB995" s="44"/>
      <c r="CC995" s="39"/>
      <c r="CD995" s="39"/>
      <c r="CE995" s="39"/>
      <c r="CF995" s="40"/>
      <c r="CG995" s="40"/>
      <c r="CH995" s="41"/>
      <c r="CI995" s="45"/>
      <c r="CJ995" s="45"/>
      <c r="CK995" s="45"/>
      <c r="CL995" s="45"/>
    </row>
    <row r="996" ht="15.75" customHeight="1">
      <c r="K996" s="38"/>
      <c r="R996" s="39"/>
      <c r="Y996" s="39"/>
      <c r="AF996" s="39"/>
      <c r="AM996" s="40"/>
      <c r="AT996" s="40"/>
      <c r="BA996" s="41"/>
      <c r="BH996" s="42"/>
      <c r="BO996" s="42"/>
      <c r="BP996" s="43"/>
      <c r="CB996" s="44"/>
      <c r="CC996" s="39"/>
      <c r="CD996" s="39"/>
      <c r="CE996" s="39"/>
      <c r="CF996" s="40"/>
      <c r="CG996" s="40"/>
      <c r="CH996" s="41"/>
      <c r="CI996" s="45"/>
      <c r="CJ996" s="45"/>
      <c r="CK996" s="45"/>
      <c r="CL996" s="45"/>
    </row>
    <row r="997" ht="15.75" customHeight="1">
      <c r="K997" s="38"/>
      <c r="R997" s="39"/>
      <c r="Y997" s="39"/>
      <c r="AF997" s="39"/>
      <c r="AM997" s="40"/>
      <c r="AT997" s="40"/>
      <c r="BA997" s="41"/>
      <c r="BH997" s="42"/>
      <c r="BO997" s="42"/>
      <c r="BP997" s="43"/>
      <c r="CB997" s="44"/>
      <c r="CC997" s="39"/>
      <c r="CD997" s="39"/>
      <c r="CE997" s="39"/>
      <c r="CF997" s="40"/>
      <c r="CG997" s="40"/>
      <c r="CH997" s="41"/>
      <c r="CI997" s="45"/>
      <c r="CJ997" s="45"/>
      <c r="CK997" s="45"/>
      <c r="CL997" s="45"/>
    </row>
    <row r="998" ht="15.75" customHeight="1">
      <c r="K998" s="38"/>
      <c r="R998" s="39"/>
      <c r="Y998" s="39"/>
      <c r="AF998" s="39"/>
      <c r="AM998" s="40"/>
      <c r="AT998" s="40"/>
      <c r="BA998" s="41"/>
      <c r="BH998" s="42"/>
      <c r="BO998" s="42"/>
      <c r="BP998" s="43"/>
      <c r="CB998" s="44"/>
      <c r="CC998" s="39"/>
      <c r="CD998" s="39"/>
      <c r="CE998" s="39"/>
      <c r="CF998" s="40"/>
      <c r="CG998" s="40"/>
      <c r="CH998" s="41"/>
      <c r="CI998" s="45"/>
      <c r="CJ998" s="45"/>
      <c r="CK998" s="45"/>
      <c r="CL998" s="45"/>
    </row>
    <row r="999" ht="15.75" customHeight="1">
      <c r="K999" s="38"/>
      <c r="R999" s="39"/>
      <c r="Y999" s="39"/>
      <c r="AF999" s="39"/>
      <c r="AM999" s="40"/>
      <c r="AT999" s="40"/>
      <c r="BA999" s="41"/>
      <c r="BH999" s="42"/>
      <c r="BO999" s="42"/>
      <c r="BP999" s="43"/>
      <c r="CB999" s="44"/>
      <c r="CC999" s="39"/>
      <c r="CD999" s="39"/>
      <c r="CE999" s="39"/>
      <c r="CF999" s="40"/>
      <c r="CG999" s="40"/>
      <c r="CH999" s="41"/>
      <c r="CI999" s="45"/>
      <c r="CJ999" s="45"/>
      <c r="CK999" s="45"/>
      <c r="CL999" s="45"/>
    </row>
    <row r="1000" ht="15.75" customHeight="1">
      <c r="K1000" s="38"/>
      <c r="R1000" s="39"/>
      <c r="Y1000" s="39"/>
      <c r="AF1000" s="39"/>
      <c r="AM1000" s="40"/>
      <c r="AT1000" s="40"/>
      <c r="BA1000" s="41"/>
      <c r="BH1000" s="42"/>
      <c r="BO1000" s="42"/>
      <c r="BP1000" s="43"/>
      <c r="CB1000" s="44"/>
      <c r="CC1000" s="39"/>
      <c r="CD1000" s="39"/>
      <c r="CE1000" s="39"/>
      <c r="CF1000" s="40"/>
      <c r="CG1000" s="40"/>
      <c r="CH1000" s="41"/>
      <c r="CI1000" s="45"/>
      <c r="CJ1000" s="45"/>
      <c r="CK1000" s="45"/>
      <c r="CL1000" s="45"/>
    </row>
  </sheetData>
  <drawing r:id="rId1"/>
  <tableParts count="1">
    <tablePart r:id="rId3"/>
  </tableParts>
</worksheet>
</file>